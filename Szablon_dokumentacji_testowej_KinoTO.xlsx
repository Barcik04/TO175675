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gorb\Desktop\"/>
    </mc:Choice>
  </mc:AlternateContent>
  <xr:revisionPtr revIDLastSave="0" documentId="8_{8A9978E0-2FBD-46CB-9EB9-C5B75E9D4688}" xr6:coauthVersionLast="47" xr6:coauthVersionMax="47" xr10:uidLastSave="{00000000-0000-0000-0000-000000000000}"/>
  <bookViews>
    <workbookView xWindow="-120" yWindow="-120" windowWidth="29040" windowHeight="15840" tabRatio="500" firstSheet="3" activeTab="7" xr2:uid="{00000000-000D-0000-FFFF-FFFF00000000}"/>
  </bookViews>
  <sheets>
    <sheet name="Instrukcja" sheetId="1" r:id="rId1"/>
    <sheet name="Przegląd specyfikacji" sheetId="2" r:id="rId2"/>
    <sheet name="Warunki testowe" sheetId="3" r:id="rId3"/>
    <sheet name="Przypadki testowe" sheetId="4" r:id="rId4"/>
    <sheet name="Macierz śledzenia" sheetId="5" r:id="rId5"/>
    <sheet name="Raporty defektów" sheetId="7" r:id="rId6"/>
    <sheet name="Sesja eksploracyjna" sheetId="6" r:id="rId7"/>
    <sheet name="Lista kontrolna" sheetId="8" r:id="rId8"/>
    <sheet name="Raport z wykonania" sheetId="9" r:id="rId9"/>
  </sheets>
  <definedNames>
    <definedName name="_xlnm._FilterDatabase" localSheetId="7" hidden="1">'Lista kontrolna'!$A$1:$F$1</definedName>
    <definedName name="_xlnm._FilterDatabase" localSheetId="4" hidden="1">'Macierz śledzenia'!$A$1:$I$1</definedName>
    <definedName name="_xlnm._FilterDatabase" localSheetId="1" hidden="1">'Przegląd specyfikacji'!$A$1:$E$1</definedName>
    <definedName name="_xlnm._FilterDatabase" localSheetId="3" hidden="1">'Przypadki testowe'!$A$1:$O$36</definedName>
    <definedName name="_xlnm._FilterDatabase" localSheetId="8" hidden="1">'Raport z wykonania'!$A$1:$C$1</definedName>
    <definedName name="_xlnm._FilterDatabase" localSheetId="5" hidden="1">'Raporty defektów'!$A$1:$Q$1</definedName>
    <definedName name="_xlnm._FilterDatabase" localSheetId="2" hidden="1">'Warunki testowe'!$A$1:$E$1</definedName>
    <definedName name="_xlnm.Print_Titles" localSheetId="7">'Lista kontrolna'!$1:$1</definedName>
    <definedName name="_xlnm.Print_Titles" localSheetId="4">'Macierz śledzenia'!$1:$1</definedName>
    <definedName name="_xlnm.Print_Titles" localSheetId="3">'Przypadki testowe'!$1:$1</definedName>
    <definedName name="_xlnm.Print_Titles" localSheetId="8">'Raport z wykonania'!$1:$1</definedName>
    <definedName name="_xlnm.Print_Titles" localSheetId="5">'Raporty defektów'!$1:$1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9" l="1"/>
  <c r="B29" i="9"/>
  <c r="B28" i="9"/>
  <c r="B27" i="9"/>
  <c r="B26" i="9"/>
  <c r="B31" i="9" s="1"/>
  <c r="B24" i="9"/>
  <c r="B23" i="9"/>
  <c r="B22" i="9"/>
  <c r="B21" i="9"/>
  <c r="B17" i="9"/>
  <c r="B13" i="9"/>
  <c r="B12" i="9"/>
  <c r="B11" i="9"/>
  <c r="B10" i="9"/>
  <c r="B9" i="9"/>
  <c r="B8" i="9"/>
  <c r="H120" i="5"/>
  <c r="G120" i="5"/>
  <c r="F120" i="5"/>
  <c r="E120" i="5"/>
  <c r="H119" i="5"/>
  <c r="G119" i="5"/>
  <c r="F119" i="5"/>
  <c r="E119" i="5"/>
  <c r="H118" i="5"/>
  <c r="G118" i="5"/>
  <c r="F118" i="5"/>
  <c r="E118" i="5"/>
  <c r="H117" i="5"/>
  <c r="G117" i="5"/>
  <c r="F117" i="5"/>
  <c r="E117" i="5"/>
  <c r="H116" i="5"/>
  <c r="G116" i="5"/>
  <c r="F116" i="5"/>
  <c r="E116" i="5"/>
  <c r="H115" i="5"/>
  <c r="G115" i="5"/>
  <c r="F115" i="5"/>
  <c r="E115" i="5"/>
  <c r="H114" i="5"/>
  <c r="G114" i="5"/>
  <c r="F114" i="5"/>
  <c r="E114" i="5"/>
  <c r="H113" i="5"/>
  <c r="G113" i="5"/>
  <c r="F113" i="5"/>
  <c r="E113" i="5"/>
  <c r="H112" i="5"/>
  <c r="G112" i="5"/>
  <c r="F112" i="5"/>
  <c r="E112" i="5"/>
  <c r="H111" i="5"/>
  <c r="G111" i="5"/>
  <c r="F111" i="5"/>
  <c r="E111" i="5"/>
  <c r="H110" i="5"/>
  <c r="G110" i="5"/>
  <c r="F110" i="5"/>
  <c r="E110" i="5"/>
  <c r="H109" i="5"/>
  <c r="G109" i="5"/>
  <c r="F109" i="5"/>
  <c r="E109" i="5"/>
  <c r="H108" i="5"/>
  <c r="G108" i="5"/>
  <c r="F108" i="5"/>
  <c r="E108" i="5"/>
  <c r="H107" i="5"/>
  <c r="G107" i="5"/>
  <c r="F107" i="5"/>
  <c r="E107" i="5"/>
  <c r="H106" i="5"/>
  <c r="G106" i="5"/>
  <c r="F106" i="5"/>
  <c r="E106" i="5"/>
  <c r="H105" i="5"/>
  <c r="G105" i="5"/>
  <c r="F105" i="5"/>
  <c r="E105" i="5"/>
  <c r="H104" i="5"/>
  <c r="G104" i="5"/>
  <c r="F104" i="5"/>
  <c r="E104" i="5"/>
  <c r="H103" i="5"/>
  <c r="G103" i="5"/>
  <c r="F103" i="5"/>
  <c r="E103" i="5"/>
  <c r="H102" i="5"/>
  <c r="G102" i="5"/>
  <c r="F102" i="5"/>
  <c r="E102" i="5"/>
  <c r="H101" i="5"/>
  <c r="G101" i="5"/>
  <c r="F101" i="5"/>
  <c r="E101" i="5"/>
  <c r="H100" i="5"/>
  <c r="G100" i="5"/>
  <c r="F100" i="5"/>
  <c r="E100" i="5"/>
  <c r="H99" i="5"/>
  <c r="G99" i="5"/>
  <c r="F99" i="5"/>
  <c r="E99" i="5"/>
  <c r="H98" i="5"/>
  <c r="G98" i="5"/>
  <c r="F98" i="5"/>
  <c r="E98" i="5"/>
  <c r="H97" i="5"/>
  <c r="G97" i="5"/>
  <c r="F97" i="5"/>
  <c r="E97" i="5"/>
  <c r="H96" i="5"/>
  <c r="G96" i="5"/>
  <c r="F96" i="5"/>
  <c r="E96" i="5"/>
  <c r="H95" i="5"/>
  <c r="G95" i="5"/>
  <c r="F95" i="5"/>
  <c r="E95" i="5"/>
  <c r="H94" i="5"/>
  <c r="G94" i="5"/>
  <c r="F94" i="5"/>
  <c r="E94" i="5"/>
  <c r="H93" i="5"/>
  <c r="G93" i="5"/>
  <c r="F93" i="5"/>
  <c r="E93" i="5"/>
  <c r="H92" i="5"/>
  <c r="G92" i="5"/>
  <c r="F92" i="5"/>
  <c r="E92" i="5"/>
  <c r="H91" i="5"/>
  <c r="G91" i="5"/>
  <c r="F91" i="5"/>
  <c r="E91" i="5"/>
  <c r="H90" i="5"/>
  <c r="G90" i="5"/>
  <c r="F90" i="5"/>
  <c r="E90" i="5"/>
  <c r="H89" i="5"/>
  <c r="G89" i="5"/>
  <c r="F89" i="5"/>
  <c r="E89" i="5"/>
  <c r="H88" i="5"/>
  <c r="G88" i="5"/>
  <c r="F88" i="5"/>
  <c r="E88" i="5"/>
  <c r="H87" i="5"/>
  <c r="G87" i="5"/>
  <c r="F87" i="5"/>
  <c r="E87" i="5"/>
  <c r="H86" i="5"/>
  <c r="G86" i="5"/>
  <c r="F86" i="5"/>
  <c r="E86" i="5"/>
  <c r="H85" i="5"/>
  <c r="G85" i="5"/>
  <c r="F85" i="5"/>
  <c r="E85" i="5"/>
  <c r="H84" i="5"/>
  <c r="G84" i="5"/>
  <c r="F84" i="5"/>
  <c r="E84" i="5"/>
  <c r="H83" i="5"/>
  <c r="G83" i="5"/>
  <c r="F83" i="5"/>
  <c r="E83" i="5"/>
  <c r="H82" i="5"/>
  <c r="G82" i="5"/>
  <c r="F82" i="5"/>
  <c r="E82" i="5"/>
  <c r="H81" i="5"/>
  <c r="G81" i="5"/>
  <c r="F81" i="5"/>
  <c r="E81" i="5"/>
  <c r="H80" i="5"/>
  <c r="G80" i="5"/>
  <c r="F80" i="5"/>
  <c r="E80" i="5"/>
  <c r="H79" i="5"/>
  <c r="G79" i="5"/>
  <c r="F79" i="5"/>
  <c r="E79" i="5"/>
  <c r="H78" i="5"/>
  <c r="G78" i="5"/>
  <c r="F78" i="5"/>
  <c r="E78" i="5"/>
  <c r="H77" i="5"/>
  <c r="G77" i="5"/>
  <c r="F77" i="5"/>
  <c r="E77" i="5"/>
  <c r="H76" i="5"/>
  <c r="G76" i="5"/>
  <c r="F76" i="5"/>
  <c r="E76" i="5"/>
  <c r="H75" i="5"/>
  <c r="G75" i="5"/>
  <c r="F75" i="5"/>
  <c r="E75" i="5"/>
  <c r="H74" i="5"/>
  <c r="G74" i="5"/>
  <c r="F74" i="5"/>
  <c r="E74" i="5"/>
  <c r="H73" i="5"/>
  <c r="G73" i="5"/>
  <c r="F73" i="5"/>
  <c r="E73" i="5"/>
  <c r="H72" i="5"/>
  <c r="G72" i="5"/>
  <c r="F72" i="5"/>
  <c r="E72" i="5"/>
  <c r="H71" i="5"/>
  <c r="G71" i="5"/>
  <c r="F71" i="5"/>
  <c r="E71" i="5"/>
  <c r="H70" i="5"/>
  <c r="G70" i="5"/>
  <c r="F70" i="5"/>
  <c r="E70" i="5"/>
  <c r="H69" i="5"/>
  <c r="G69" i="5"/>
  <c r="F69" i="5"/>
  <c r="E69" i="5"/>
  <c r="H68" i="5"/>
  <c r="G68" i="5"/>
  <c r="F68" i="5"/>
  <c r="E68" i="5"/>
  <c r="H67" i="5"/>
  <c r="G67" i="5"/>
  <c r="F67" i="5"/>
  <c r="E67" i="5"/>
  <c r="H66" i="5"/>
  <c r="G66" i="5"/>
  <c r="F66" i="5"/>
  <c r="E66" i="5"/>
  <c r="H65" i="5"/>
  <c r="G65" i="5"/>
  <c r="F65" i="5"/>
  <c r="E65" i="5"/>
  <c r="H64" i="5"/>
  <c r="G64" i="5"/>
  <c r="F64" i="5"/>
  <c r="E64" i="5"/>
  <c r="H63" i="5"/>
  <c r="G63" i="5"/>
  <c r="F63" i="5"/>
  <c r="E63" i="5"/>
  <c r="H62" i="5"/>
  <c r="G62" i="5"/>
  <c r="F62" i="5"/>
  <c r="E62" i="5"/>
  <c r="H61" i="5"/>
  <c r="G61" i="5"/>
  <c r="F61" i="5"/>
  <c r="E61" i="5"/>
  <c r="H60" i="5"/>
  <c r="G60" i="5"/>
  <c r="F60" i="5"/>
  <c r="E60" i="5"/>
  <c r="H59" i="5"/>
  <c r="G59" i="5"/>
  <c r="F59" i="5"/>
  <c r="E59" i="5"/>
  <c r="H58" i="5"/>
  <c r="G58" i="5"/>
  <c r="F58" i="5"/>
  <c r="E58" i="5"/>
  <c r="H57" i="5"/>
  <c r="G57" i="5"/>
  <c r="F57" i="5"/>
  <c r="E57" i="5"/>
  <c r="H56" i="5"/>
  <c r="G56" i="5"/>
  <c r="F56" i="5"/>
  <c r="E56" i="5"/>
  <c r="H55" i="5"/>
  <c r="G55" i="5"/>
  <c r="F55" i="5"/>
  <c r="E55" i="5"/>
  <c r="H54" i="5"/>
  <c r="G54" i="5"/>
  <c r="F54" i="5"/>
  <c r="E54" i="5"/>
  <c r="H53" i="5"/>
  <c r="G53" i="5"/>
  <c r="F53" i="5"/>
  <c r="E53" i="5"/>
  <c r="H52" i="5"/>
  <c r="G52" i="5"/>
  <c r="F52" i="5"/>
  <c r="E52" i="5"/>
  <c r="H51" i="5"/>
  <c r="G51" i="5"/>
  <c r="F51" i="5"/>
  <c r="E51" i="5"/>
  <c r="H50" i="5"/>
  <c r="G50" i="5"/>
  <c r="F50" i="5"/>
  <c r="E50" i="5"/>
  <c r="H49" i="5"/>
  <c r="G49" i="5"/>
  <c r="F49" i="5"/>
  <c r="E49" i="5"/>
  <c r="H48" i="5"/>
  <c r="G48" i="5"/>
  <c r="F48" i="5"/>
  <c r="E48" i="5"/>
  <c r="H47" i="5"/>
  <c r="G47" i="5"/>
  <c r="F47" i="5"/>
  <c r="E47" i="5"/>
  <c r="H46" i="5"/>
  <c r="G46" i="5"/>
  <c r="F46" i="5"/>
  <c r="E46" i="5"/>
  <c r="H45" i="5"/>
  <c r="G45" i="5"/>
  <c r="F45" i="5"/>
  <c r="E45" i="5"/>
  <c r="H44" i="5"/>
  <c r="G44" i="5"/>
  <c r="F44" i="5"/>
  <c r="E44" i="5"/>
  <c r="H43" i="5"/>
  <c r="G43" i="5"/>
  <c r="F43" i="5"/>
  <c r="E43" i="5"/>
  <c r="H42" i="5"/>
  <c r="G42" i="5"/>
  <c r="F42" i="5"/>
  <c r="E42" i="5"/>
  <c r="H41" i="5"/>
  <c r="G41" i="5"/>
  <c r="F41" i="5"/>
  <c r="E41" i="5"/>
  <c r="H40" i="5"/>
  <c r="G40" i="5"/>
  <c r="F40" i="5"/>
  <c r="E40" i="5"/>
  <c r="H39" i="5"/>
  <c r="G39" i="5"/>
  <c r="F39" i="5"/>
  <c r="E39" i="5"/>
  <c r="H38" i="5"/>
  <c r="G38" i="5"/>
  <c r="F38" i="5"/>
  <c r="E38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G16" i="5"/>
  <c r="F16" i="5"/>
  <c r="E16" i="5"/>
  <c r="H16" i="5" s="1"/>
  <c r="G15" i="5"/>
  <c r="F15" i="5"/>
  <c r="E15" i="5"/>
  <c r="H15" i="5" s="1"/>
  <c r="G14" i="5"/>
  <c r="F14" i="5"/>
  <c r="E14" i="5"/>
  <c r="H14" i="5" s="1"/>
  <c r="G13" i="5"/>
  <c r="F13" i="5"/>
  <c r="E13" i="5"/>
  <c r="H13" i="5" s="1"/>
  <c r="G12" i="5"/>
  <c r="F12" i="5"/>
  <c r="E12" i="5"/>
  <c r="H12" i="5" s="1"/>
  <c r="G11" i="5"/>
  <c r="F11" i="5"/>
  <c r="E11" i="5"/>
  <c r="H11" i="5" s="1"/>
  <c r="G10" i="5"/>
  <c r="F10" i="5"/>
  <c r="E10" i="5"/>
  <c r="H10" i="5" s="1"/>
  <c r="G9" i="5"/>
  <c r="F9" i="5"/>
  <c r="E9" i="5"/>
  <c r="H9" i="5" s="1"/>
  <c r="G8" i="5"/>
  <c r="F8" i="5"/>
  <c r="E8" i="5"/>
  <c r="H8" i="5" s="1"/>
  <c r="G7" i="5"/>
  <c r="F7" i="5"/>
  <c r="E7" i="5"/>
  <c r="H7" i="5" s="1"/>
  <c r="G6" i="5"/>
  <c r="F6" i="5"/>
  <c r="E6" i="5"/>
  <c r="H6" i="5" s="1"/>
  <c r="G5" i="5"/>
  <c r="F5" i="5"/>
  <c r="E5" i="5"/>
  <c r="H5" i="5" s="1"/>
  <c r="G4" i="5"/>
  <c r="F4" i="5"/>
  <c r="E4" i="5"/>
  <c r="H4" i="5" s="1"/>
  <c r="G3" i="5"/>
  <c r="F3" i="5"/>
  <c r="E3" i="5"/>
  <c r="H3" i="5" s="1"/>
  <c r="G2" i="5"/>
  <c r="F2" i="5"/>
  <c r="E2" i="5"/>
  <c r="H2" i="5" s="1"/>
  <c r="B18" i="9" l="1"/>
  <c r="B19" i="9" s="1"/>
  <c r="B15" i="9"/>
  <c r="B14" i="9"/>
</calcChain>
</file>

<file path=xl/sharedStrings.xml><?xml version="1.0" encoding="utf-8"?>
<sst xmlns="http://schemas.openxmlformats.org/spreadsheetml/2006/main" count="885" uniqueCount="490">
  <si>
    <t>Szablon dokumentacji testowej</t>
  </si>
  <si>
    <t>Testowanie oprogramowania – ćwiczenia 1 (na podstawie ISO/IEC/IEEE 29119-3 i sylabusa ISTQB CTFL 4.0)</t>
  </si>
  <si>
    <t>Autor (imię, nazwisko, nr albumu)</t>
  </si>
  <si>
    <t>Grupa / data</t>
  </si>
  <si>
    <t>Przedmiot testów</t>
  </si>
  <si>
    <t>KinoTO 1.0 – formularz zakupu biletów (specyfikacja: specyfikacja_KinoTO.md; obiekt do wykonywania testów: Symulator_KinoTO.xlsx)</t>
  </si>
  <si>
    <t>ARKUSZE</t>
  </si>
  <si>
    <t>Przegląd specyfikacji</t>
  </si>
  <si>
    <t>Wynik testowania statycznego: jeden wiersz = jeden problem w specyfikacji (z ID wymagania, rodzajem problemu i pytaniem do autora).</t>
  </si>
  <si>
    <t>Warunki testowe</t>
  </si>
  <si>
    <t>Wynik analizy: CO testujemy. ID w formacie WT-&lt;obszar&gt;-&lt;nr&gt;, np. WT-FRM-01; podaj wymaganie i priorytet.</t>
  </si>
  <si>
    <t>Przypadki testowe</t>
  </si>
  <si>
    <t>Specyfikacja przypadków testowych: jeden wiersz = jeden przypadek. ID w formacie TC-&lt;obszar&gt;-&lt;nr&gt;, np. TC-FRM-001. Kolumnę „Wymaganie” wypełnij identyfikatorami REQ-… (kilka – po przecinku).</t>
  </si>
  <si>
    <t>Macierz śledzenia</t>
  </si>
  <si>
    <t>Jeden wiersz = jedno wymaganie (ID i skrót są już wpisane). Uzupełnij priorytet i ID przypadków. Kolumny „Liczba przypadków”, „Zaliczone”, „Niezaliczone” i „Pokrycie” liczą się same.</t>
  </si>
  <si>
    <t>Sesja eksploracyjna</t>
  </si>
  <si>
    <t>Karta sesji (cel, czas) i notatki z sesji: co sprawdzono, co zaobserwowano, ocena obserwacji.</t>
  </si>
  <si>
    <t>Raporty defektów</t>
  </si>
  <si>
    <t>Jeden wiersz = jeden raport o defekcie (ID: DEF-&lt;nr&gt;). Kroki muszą pozwolić odtworzyć awarię innej osobie. Zrzut ekranu (opcjonalnie): Win+Shift+S, zapisz jako DEF-&lt;nr&gt;.png.</t>
  </si>
  <si>
    <t>Lista kontrolna</t>
  </si>
  <si>
    <t>Pozycje formułuj jako pytania, na które odpowiedź „Tak” oznacza stan poprawny. Wynik „Nie” → wpisz dowód i (jeśli to defekt) ID raportu.</t>
  </si>
  <si>
    <t>Raport z wykonania</t>
  </si>
  <si>
    <t>Podsumowanie testów. Liczby w kolumnie „Wartość” wyliczają się automatycznie – uzupełnij pola opisowe.</t>
  </si>
  <si>
    <t>STATUS PRZYPADKU</t>
  </si>
  <si>
    <t>Nie wykonano – jeszcze nie uruchomiony; Zaliczony – rzeczywisty rezultat = oczekiwany; Niezaliczony – rozbieżność (wpisz ID defektu); Zablokowany – nie da się wykonać (np. brak środowiska, inny defekt); Pominięty – świadomie nie wykonano (podaj powód w uwagach).</t>
  </si>
  <si>
    <t>WAŻNOŚĆ (severity)</t>
  </si>
  <si>
    <t>Wpływ defektu na system/użytkownika: Krytyczna – awaria uniemożliwia korzystanie z kluczowej funkcji, utrata danych, bezpieczeństwo; Wysoka – ważna funkcja działa błędnie, brak obejścia; Średnia – błąd z obejściem lub w mniej ważnej funkcji; Niska – kosmetyka, literówki, drobne niedogodności.</t>
  </si>
  <si>
    <t>PRIORYTET (priority)</t>
  </si>
  <si>
    <t>Pilność naprawy z punktu widzenia biznesu: Wysoki – naprawić natychmiast / przed wydaniem; Średni – w najbliższym cyklu; Niski – gdy będzie czas. Ważność i priorytet to dwie różne oceny (np. literówka w nazwie firmy na stronie głównej: niska ważność, wysoki priorytet).</t>
  </si>
  <si>
    <t>CYKL ŻYCIA DEFEKTU</t>
  </si>
  <si>
    <t>Nowy → Otwarty → W naprawie → Naprawiony → Do retestu → Zamknięty; ewentualnie Odrzucony (to nie defekt / nie do odtworzenia), Odroczony (naprawa później), Ponownie otwarty (retest nieudany).</t>
  </si>
  <si>
    <t>TECHNIKA</t>
  </si>
  <si>
    <t>EP – podział na klasy równoważności; AWB – analiza wartości brzegowych; Doświadczenie – zgadywanie błędów, testowanie eksploracyjne; Na podstawie wymagania – test wyprowadzony wprost z treści wymagania.</t>
  </si>
  <si>
    <t>Wiersze przykładowe</t>
  </si>
  <si>
    <t>Wiersze wyróżnione żółtym tłem są przykładami – usuń je lub zastąp własnymi przed oddaniem.</t>
  </si>
  <si>
    <t>Nr</t>
  </si>
  <si>
    <t>Wymaganie (REQ-…)</t>
  </si>
  <si>
    <t>Rodzaj problemu</t>
  </si>
  <si>
    <t>Opis problemu</t>
  </si>
  <si>
    <t>Pytanie do autora / propozycja</t>
  </si>
  <si>
    <t>REQ-FRM-05</t>
  </si>
  <si>
    <t>Niejednoznaczność</t>
  </si>
  <si>
    <t>„Liczba całkowita” – nie wiadomo, jak traktować 2,0, +2, 02, spacje oraz puste pole.</t>
  </si>
  <si>
    <t>Czy 2,0 i puste pole mają dawać komunikat z REQ-FRM-05? Czy zapisy typu 02 lub +2 są akceptowane?</t>
  </si>
  <si>
    <t>REQ-FRM-04</t>
  </si>
  <si>
    <t>Brak (niekompletne)</t>
  </si>
  <si>
    <t>Nie określono zachowania dla pustego pola wieku, liczby ułamkowej (30,5) ani wartości tekstowej; komunikat jest podany tylko ogólnie.</t>
  </si>
  <si>
    <t>Czy puste pole, 30,5 i tekst („abc”) mają dawać komunikat „Podaj wiek od 1 do 120.”?</t>
  </si>
  <si>
    <t>REQ-FRM-02</t>
  </si>
  <si>
    <t>„Litery” – nie wiadomo, czy dozwolone są polskie znaki (ą, ę, ł) i litery spoza alfabetu łacińskiego. Nie wiadomo też, czy długość liczy się razem ze spacjami na początku/końcu i czy imię może zaczynać się od myślnika.</t>
  </si>
  <si>
    <t>Czy polskie litery są dozwolone? Czy spacje brzegowe są obcinane przed sprawdzeniem długości?</t>
  </si>
  <si>
    <t>REQ-FRM-03</t>
  </si>
  <si>
    <t>„Poprawny adres e-mail” nie ma definicji (dozwolone znaki, wymagana kropka w domenie, maks. długość, adres typu anna@example).</t>
  </si>
  <si>
    <t>Jaką regułę walidacji przyjąć (np. dokładnie jedno @, niepusta część lokalna, domena z kropką)?</t>
  </si>
  <si>
    <t>REQ-FRM-01 / REQ-FRM-06</t>
  </si>
  <si>
    <t>Sprzeczność</t>
  </si>
  <si>
    <t>REQ-FRM-01 wymaga pola wyboru „Mam Kartę Kinomaniaka” i przycisku „Kup”, a symulator udostępnia listę Tak/Nie i brak przycisku (zakup „sam się wykonuje”). Dodatkowo REQ-FRM-06 nie mówi, czy brak karty = domyślnie „Nie”.</t>
  </si>
  <si>
    <t>Czy odstępstwo symulatora od REQ-FRM-01 jest zamierzone? Jaka jest wartość domyślna karty?</t>
  </si>
  <si>
    <t>REQ-FRM-07 / REQ-CEN-04</t>
  </si>
  <si>
    <t>REQ-FRM-07: „po jednym komunikacie dla każdego błędnego pola”, a niepoprawny kod to według REQ-CEN-04 nie błąd, lecz informacja („pominięto”). Nie wiadomo, czy informacja o kodzie ma się pojawiać także wtedy, gdy inne dane są błędne.</t>
  </si>
  <si>
    <t>Czy „Nieprawidłowy kod – pominięto” wyświetlać przy błędnych danych (brak zakupu)?</t>
  </si>
  <si>
    <t>REQ-FRM-07</t>
  </si>
  <si>
    <t>Nie określono kolejności wyświetlania komunikatów ani tego, czy komunikaty znikają po poprawieniu danych.</t>
  </si>
  <si>
    <t>Czy komunikaty mają występować w kolejności pól formularza?</t>
  </si>
  <si>
    <t>REQ-CEN-04</t>
  </si>
  <si>
    <t>Nie określono, czy kod ze spacjami („ KINO10 ”) lub z innymi znakami (np. „KINO 10”) jest poprawny; nie określono też, czy spacje brzegowe są ignorowane.</t>
  </si>
  <si>
    <t>Czy kod jest obcinany z białych znaków przed porównaniem?</t>
  </si>
  <si>
    <t>REQ-CEN-05</t>
  </si>
  <si>
    <t>„Wartość biletów przed rabatem” – nie wiadomo, czy liczy się cenę po uldze wiekowej (Słownik: liczba biletów × cena biletu) czy normalną cenę 30,00 zł. Przy cenach 15,00 i 30,00 zł wartość dokładnie 100,00 zł jest nieosiągalna, więc granica „co najmniej 100,00 zł” nie może być zbadana wprost.</t>
  </si>
  <si>
    <t>Czy próg 100,00 zł dotyczy ceny po uldze? Czy próg jest świadomie nieosiągalny?</t>
  </si>
  <si>
    <t>REQ-CEN-06</t>
  </si>
  <si>
    <t>Nie określono metody zaokrąglenia (half-up / bankierskie) ani momentu zaokrąglenia; przy cenach 15/30 zł i rabatach 0/10/15% zaokrąglenie nigdy nie następuje, więc wymaganie jest w praktyce nietestowalne.</t>
  </si>
  <si>
    <t>Jaka metoda zaokrąglenia obowiązuje i czy opłatę dodaje się po zaokrągleniu?</t>
  </si>
  <si>
    <t>REQ-CEN-07 / REQ-FRM-08</t>
  </si>
  <si>
    <t>Format wymaga „dwóch miejsc po przecinku i jednostki” dla cen, opłaty i kwoty, ale nie mówi, jak wyświetlać rabat (15% czy kwota w zł?) ani separatora tysięcy.</t>
  </si>
  <si>
    <t>W jakim formacie ma być wyświetlany rabat w podsumowaniu?</t>
  </si>
  <si>
    <t>REQ-CEN-02 / REQ-CEN-03</t>
  </si>
  <si>
    <t>Nie określono kolejności stosowania ulgi wiekowej i rabatu (ulga 50% potem rabat – wynika dopiero ze wzoru z REQ-CEN-06) oraz tego, czy ulga i rabat mogą się łączyć. Sformułowanie „rabaty się nie sumują” dotyczy tylko rabatów z REQ-CEN-03.</t>
  </si>
  <si>
    <t>Potwierdzić, że ulga wiekowa i rabat z REQ-CEN-03 łączą się multiplikatywnie.</t>
  </si>
  <si>
    <t>ID</t>
  </si>
  <si>
    <t>Warunek testowy (CO sprawdzamy)</t>
  </si>
  <si>
    <t>Priorytet</t>
  </si>
  <si>
    <t>Uwagi</t>
  </si>
  <si>
    <t>WT-FRM-01</t>
  </si>
  <si>
    <t>Formularz zawiera wszystkie wymagane pola i przycisk „Kup”</t>
  </si>
  <si>
    <t>REQ-FRM-01</t>
  </si>
  <si>
    <t>Niski</t>
  </si>
  <si>
    <t>WT-FRM-02</t>
  </si>
  <si>
    <t>Imię: minimalna długość (2 znaki)</t>
  </si>
  <si>
    <t>Średni</t>
  </si>
  <si>
    <t>WT-FRM-03</t>
  </si>
  <si>
    <t>Imię: maksymalna długość (30 znaków)</t>
  </si>
  <si>
    <t>WT-FRM-04</t>
  </si>
  <si>
    <t>Imię: dozwolone znaki (litery, spacja, myślnik)</t>
  </si>
  <si>
    <t>WT-FRM-05</t>
  </si>
  <si>
    <t>Imię: niedozwolone znaki (cyfry, @, _) i komunikat „Podaj poprawne imię.”</t>
  </si>
  <si>
    <t>WT-FRM-06</t>
  </si>
  <si>
    <t>E-mail: niepoprawny format (brak @, brak części lokalnej/domeny) i komunikat</t>
  </si>
  <si>
    <t>WT-FRM-07</t>
  </si>
  <si>
    <t>Wiek: granice 1 i 120 oraz wartości tuż poza (0, 121)</t>
  </si>
  <si>
    <t>Wysoki</t>
  </si>
  <si>
    <t>Wiek wpływa też na cenę (REQ-CEN-02)</t>
  </si>
  <si>
    <t>WT-FRM-08</t>
  </si>
  <si>
    <t>Wiek: wartość nienumeryczna i komunikat „Podaj wiek od 1 do 120.”</t>
  </si>
  <si>
    <t>WT-FRM-09</t>
  </si>
  <si>
    <t>Liczba biletów: granice 1 i 10 oraz wartości tuż poza (0, 11) i komunikat</t>
  </si>
  <si>
    <t>WT-FRM-10</t>
  </si>
  <si>
    <t>Kod promocyjny: pole opcjonalne (puste nie jest błędem)</t>
  </si>
  <si>
    <t>REQ-FRM-06</t>
  </si>
  <si>
    <t>WT-FRM-11</t>
  </si>
  <si>
    <t>Wiele błędów naraz: osobny komunikat dla każdego pola, brak zakupu</t>
  </si>
  <si>
    <t>WT-FRM-12</t>
  </si>
  <si>
    <t>Poprawne dane: podsumowanie + „Dziękujemy za zakup!”</t>
  </si>
  <si>
    <t>REQ-FRM-08</t>
  </si>
  <si>
    <t>WT-CEN-01</t>
  </si>
  <si>
    <t>Cena normalnego biletu 30,00 zł</t>
  </si>
  <si>
    <t>REQ-CEN-01</t>
  </si>
  <si>
    <t>WT-CEN-02</t>
  </si>
  <si>
    <t>Ulga 50%: granice wieku 17/18 i 64/65</t>
  </si>
  <si>
    <t>REQ-CEN-02</t>
  </si>
  <si>
    <t>Wszystkie bilety tego samego rodzaju</t>
  </si>
  <si>
    <t>WT-CEN-03</t>
  </si>
  <si>
    <t>Rabat: 4 kombinacje (karta × kod) → 15% / 10% / 10% / 0%</t>
  </si>
  <si>
    <t>REQ-CEN-03</t>
  </si>
  <si>
    <t>Tablica decyzyjna</t>
  </si>
  <si>
    <t>WT-CEN-04</t>
  </si>
  <si>
    <t>Kod KINO10: wielkość liter bez znaczenia</t>
  </si>
  <si>
    <t>WT-CEN-05</t>
  </si>
  <si>
    <t>Niepoprawny kod: informacja „Nieprawidłowy kod – pominięto”, zakup kontynuowany</t>
  </si>
  <si>
    <t>WT-CEN-06</t>
  </si>
  <si>
    <t>Opłata rezerwacyjna 2,00 zł dla zamówienia bez karty, poniżej 100,00 zł</t>
  </si>
  <si>
    <t>WT-CEN-07</t>
  </si>
  <si>
    <t>Brak opłaty: klient z kartą</t>
  </si>
  <si>
    <t>WT-CEN-08</t>
  </si>
  <si>
    <t>Brak opłaty: wartość biletów przed rabatem ≥ 100,00 zł (w tym przy cenie ulgowej)</t>
  </si>
  <si>
    <t>Próg 100,00 zł jest nieosiągalny wprost – badamy 90/92 i 105/120</t>
  </si>
  <si>
    <t>WT-CEN-09</t>
  </si>
  <si>
    <t>Wzór kwoty do zapłaty (ulga + rabat + opłata)</t>
  </si>
  <si>
    <t>WT-CEN-10</t>
  </si>
  <si>
    <t>Zaokrąglenie do grosza</t>
  </si>
  <si>
    <t>Przy cenach 15/30 zł i rabatach 0/10/15% zaokrąglenie nie występuje – patrz przegląd</t>
  </si>
  <si>
    <t>WT-CEN-11</t>
  </si>
  <si>
    <t>Format kwot „0,00 zł”</t>
  </si>
  <si>
    <t>REQ-CEN-07</t>
  </si>
  <si>
    <t>Tytuł</t>
  </si>
  <si>
    <t>Technika</t>
  </si>
  <si>
    <t>Warunki wstępne</t>
  </si>
  <si>
    <t>Dane testowe</t>
  </si>
  <si>
    <t>Kroki</t>
  </si>
  <si>
    <t>Oczekiwany rezultat</t>
  </si>
  <si>
    <t>Rzeczywisty rezultat</t>
  </si>
  <si>
    <t>Status</t>
  </si>
  <si>
    <t>ID defektu</t>
  </si>
  <si>
    <t>Wykonał</t>
  </si>
  <si>
    <t>Data wykonania</t>
  </si>
  <si>
    <t>TC-FRM-001</t>
  </si>
  <si>
    <t>Zakup z poprawnymi danymi (bez karty i kodu)</t>
  </si>
  <si>
    <t>REQ-FRM-06, REQ-FRM-08, REQ-CEN-01, REQ-CEN-05</t>
  </si>
  <si>
    <t>EP</t>
  </si>
  <si>
    <t>1. Otwarty Symulator_KinoTO.xlsx.
2. Wszystkie żółte pola puste, karta: Nie.</t>
  </si>
  <si>
    <t>imię: Anna
e-mail: anna@example.com
wiek: 30
liczba biletów: 2
kod: (puste)
karta: Nie</t>
  </si>
  <si>
    <t>1. Wpisz dane testowe w żółte pola.
2. Odczytaj sekcje „Komunikaty” i „Podsumowanie”.</t>
  </si>
  <si>
    <t>Brak komunikatów o błędach; cena biletu 30,00 zł; rabat 0%; opłata 2,00 zł; do zapłaty 62,00 zł; „Dziękujemy za zakup!”.</t>
  </si>
  <si>
    <t>Nie wykonano</t>
  </si>
  <si>
    <t>TC-FRM-002</t>
  </si>
  <si>
    <t>Formularz zawiera wszystkie wymagane pola</t>
  </si>
  <si>
    <t>Na podstawie wymagania</t>
  </si>
  <si>
    <t>(brak danych – tylko oględziny)</t>
  </si>
  <si>
    <t>1. Otwórz symulator.
2. Porównaj etykiety pól z REQ-FRM-01.</t>
  </si>
  <si>
    <t>Widoczne pola: Imię, E-mail, Wiek, Liczba biletów, Kod promocyjny, „Mam Kartę Kinomaniaka” oraz przycisk „Kup” (odstępstwo symulatora – patrz przegląd, nr 5).</t>
  </si>
  <si>
    <t>TC-FRM-003</t>
  </si>
  <si>
    <t>Imię 2 znaki – akceptowane (AWB: dolna granica)</t>
  </si>
  <si>
    <t>AWB</t>
  </si>
  <si>
    <t>imię: Al
e-mail: anna@example.com
wiek: 25
liczba biletów: 1
kod: (puste)
karta: Nie</t>
  </si>
  <si>
    <t>Brak komunikatów o błędach; cena biletu 30,00 zł; rabat 0%; opłata 2,00 zł; do zapłaty 32,00 zł; „Dziękujemy za zakup!”.</t>
  </si>
  <si>
    <t>TC-FRM-004</t>
  </si>
  <si>
    <t>Imię 1 znak – odrzucone (AWB: tuż pod granicą 2)</t>
  </si>
  <si>
    <t>imię: A
e-mail: anna@example.com
wiek: 30
liczba biletów: 2
kod: (puste)
karta: Nie</t>
  </si>
  <si>
    <t>Komunikat: „Podaj poprawne imię.”; brak podsumowania i brak „Dziękujemy za zakup!”.</t>
  </si>
  <si>
    <t>TC-FRM-005</t>
  </si>
  <si>
    <t>Imię 30 znaków – akceptowane (AWB: górna granica)</t>
  </si>
  <si>
    <t>imię: AbcdefghijAbcdefghijAbcdefghij
e-mail: anna@example.com
wiek: 30
liczba biletów: 1
kod: (puste)
karta: Nie</t>
  </si>
  <si>
    <t>TC-FRM-006</t>
  </si>
  <si>
    <t>Imię 31 znaków – odrzucone (AWB: tuż nad granicą 30)</t>
  </si>
  <si>
    <t>imię: AbcdefghijAbcdefghijAbcdefghijk
e-mail: anna@example.com
wiek: 30
liczba biletów: 2
kod: (puste)
karta: Nie</t>
  </si>
  <si>
    <t>TC-FRM-007</t>
  </si>
  <si>
    <t>Imię ze spacją i myślnikiem – akceptowane</t>
  </si>
  <si>
    <t>imię: Anna-Maria Nowak
e-mail: anna@example.com
wiek: 30
liczba biletów: 1
kod: (puste)
karta: Nie</t>
  </si>
  <si>
    <t>TC-FRM-008</t>
  </si>
  <si>
    <t>Imię z cyfrą – odrzucone</t>
  </si>
  <si>
    <t>imię: Anna5
e-mail: anna@example.com
wiek: 30
liczba biletów: 2
kod: (puste)
karta: Nie</t>
  </si>
  <si>
    <t>TC-FRM-009</t>
  </si>
  <si>
    <t>E-mail bez znaku @ – odrzucony</t>
  </si>
  <si>
    <t>imię: Anna
e-mail: annaexample.com
wiek: 30
liczba biletów: 2
kod: (puste)
karta: Nie</t>
  </si>
  <si>
    <t>Komunikat: „Niepoprawny adres e-mail.”; brak podsumowania i brak „Dziękujemy za zakup!”.</t>
  </si>
  <si>
    <t>TC-FRM-010</t>
  </si>
  <si>
    <t>E-mail bez części po @ – odrzucony</t>
  </si>
  <si>
    <t>imię: Anna
e-mail: anna@
wiek: 30
liczba biletów: 2
kod: (puste)
karta: Nie</t>
  </si>
  <si>
    <t>TC-FRM-011</t>
  </si>
  <si>
    <t>Wiek 0 – odrzucony (AWB: tuż pod granicą 1)</t>
  </si>
  <si>
    <t>imię: Anna
e-mail: anna@example.com
wiek: 0
liczba biletów: 2
kod: (puste)
karta: Nie</t>
  </si>
  <si>
    <t>Komunikat: „Podaj wiek od 1 do 120.”; brak podsumowania i brak „Dziękujemy za zakup!”.</t>
  </si>
  <si>
    <t>TC-FRM-012</t>
  </si>
  <si>
    <t>Wiek 120 – akceptowany, ulga (AWB: górna granica)</t>
  </si>
  <si>
    <t>REQ-FRM-04, REQ-CEN-02</t>
  </si>
  <si>
    <t>imię: Anna
e-mail: anna@example.com
wiek: 120
liczba biletów: 1
kod: (puste)
karta: Nie</t>
  </si>
  <si>
    <t>Brak komunikatów o błędach; cena biletu 15,00 zł; rabat 0%; opłata 2,00 zł; do zapłaty 17,00 zł; „Dziękujemy za zakup!”.</t>
  </si>
  <si>
    <t>TC-FRM-013</t>
  </si>
  <si>
    <t>Wiek 121 – odrzucony (AWB: tuż nad granicą 120)</t>
  </si>
  <si>
    <t>imię: Anna
e-mail: anna@example.com
wiek: 121
liczba biletów: 2
kod: (puste)
karta: Nie</t>
  </si>
  <si>
    <t>TC-FRM-014</t>
  </si>
  <si>
    <t>Wiek nie jest liczbą („abc”) – odrzucony</t>
  </si>
  <si>
    <t>imię: Anna
e-mail: anna@example.com
wiek: abc
liczba biletów: 2
kod: (puste)
karta: Nie</t>
  </si>
  <si>
    <t>TC-FRM-015</t>
  </si>
  <si>
    <t>Liczba biletów 0 – odrzucona (AWB: tuż pod granicą 1)</t>
  </si>
  <si>
    <t>imię: Anna
e-mail: anna@example.com
wiek: 30
liczba biletów: 0
kod: (puste)
karta: Nie</t>
  </si>
  <si>
    <t>Komunikat: „Można kupić od 1 do 10 biletów.”; brak podsumowania i brak „Dziękujemy za zakup!”.</t>
  </si>
  <si>
    <t>TC-FRM-016</t>
  </si>
  <si>
    <t>Liczba biletów 10 – akceptowana (AWB: górna granica)</t>
  </si>
  <si>
    <t>REQ-FRM-05, REQ-CEN-05</t>
  </si>
  <si>
    <t>imię: Anna
e-mail: anna@example.com
wiek: 30
liczba biletów: 10
kod: (puste)
karta: Nie</t>
  </si>
  <si>
    <t>Brak komunikatów o błędach; cena biletu 30,00 zł; rabat 0%; opłata 0,00 zł; do zapłaty 300,00 zł; „Dziękujemy za zakup!”.</t>
  </si>
  <si>
    <t>TC-FRM-017</t>
  </si>
  <si>
    <t>Liczba biletów 11 – odrzucona (AWB: tuż nad granicą 10)</t>
  </si>
  <si>
    <t>imię: Anna
e-mail: anna@example.com
wiek: 30
liczba biletów: 11
kod: (puste)
karta: Nie</t>
  </si>
  <si>
    <t>TC-FRM-018</t>
  </si>
  <si>
    <t>Wszystkie pola błędne – lista wszystkich błędów</t>
  </si>
  <si>
    <t>REQ-FRM-07, REQ-FRM-02, REQ-FRM-03, REQ-FRM-04, REQ-FRM-05</t>
  </si>
  <si>
    <t>imię: A
e-mail: x
wiek: 0
liczba biletów: 11
kod: (puste)
karta: Nie</t>
  </si>
  <si>
    <t>Cztery osobne komunikaty: „Podaj poprawne imię.”, „Niepoprawny adres e-mail.”, „Podaj wiek od 1 do 120.”, „Można kupić od 1 do 10 biletów.”; brak podsumowania i brak „Dziękujemy za zakup!”.</t>
  </si>
  <si>
    <t>TC-CEN-001</t>
  </si>
  <si>
    <t>Karta + poprawny kod – rabat 15%</t>
  </si>
  <si>
    <t>REQ-CEN-03, REQ-CEN-05, REQ-CEN-06, REQ-CEN-07</t>
  </si>
  <si>
    <t>imię: Anna
e-mail: anna@example.com
wiek: 30
liczba biletów: 2
kod: KINO10
karta: Tak</t>
  </si>
  <si>
    <t>Brak komunikatów o błędach; cena biletu 30,00 zł; rabat 15%; opłata 0,00 zł; do zapłaty 51,00 zł; „Dziękujemy za zakup!”. (przykład ze specyfikacji)</t>
  </si>
  <si>
    <t>TC-CEN-002</t>
  </si>
  <si>
    <t>Karta bez kodu – rabat 10%</t>
  </si>
  <si>
    <t>REQ-CEN-03, REQ-CEN-05, REQ-CEN-06</t>
  </si>
  <si>
    <t>imię: Anna
e-mail: anna@example.com
wiek: 30
liczba biletów: 2
kod: (puste)
karta: Tak</t>
  </si>
  <si>
    <t>Brak komunikatów o błędach; cena biletu 30,00 zł; rabat 10%; opłata 0,00 zł; do zapłaty 54,00 zł; „Dziękujemy za zakup!”.</t>
  </si>
  <si>
    <t>TC-CEN-003</t>
  </si>
  <si>
    <t>Poprawny kod bez karty – rabat 10%, opłata 2,00 zł</t>
  </si>
  <si>
    <t>REQ-CEN-03, REQ-CEN-04, REQ-CEN-05, REQ-CEN-06</t>
  </si>
  <si>
    <t>imię: Anna
e-mail: anna@example.com
wiek: 30
liczba biletów: 2
kod: KINO10
karta: Nie</t>
  </si>
  <si>
    <t>Brak komunikatów o błędach; cena biletu 30,00 zł; rabat 10%; opłata 2,00 zł; do zapłaty 56,00 zł; „Dziękujemy za zakup!”.</t>
  </si>
  <si>
    <t>TC-CEN-004</t>
  </si>
  <si>
    <t>Bez karty i bez kodu – rabat 0%, opłata 2,00 zł</t>
  </si>
  <si>
    <t>REQ-CEN-01, REQ-CEN-03, REQ-CEN-05</t>
  </si>
  <si>
    <t>imię: Anna
e-mail: anna@example.com
wiek: 40
liczba biletów: 1
kod: (puste)
karta: Nie</t>
  </si>
  <si>
    <t>TC-CEN-005</t>
  </si>
  <si>
    <t>Wiek 17 – ulga 50% (AWB: ostatnia wartość z ulgą)</t>
  </si>
  <si>
    <t>imię: Anna
e-mail: anna@example.com
wiek: 17
liczba biletów: 1
kod: (puste)
karta: Nie</t>
  </si>
  <si>
    <t>TC-CEN-006</t>
  </si>
  <si>
    <t>Wiek 18 – bez ulgi (AWB: pierwsza wartość bez ulgi)</t>
  </si>
  <si>
    <t>imię: Anna
e-mail: anna@example.com
wiek: 18
liczba biletów: 1
kod: (puste)
karta: Nie</t>
  </si>
  <si>
    <t>TC-CEN-007</t>
  </si>
  <si>
    <t>Wiek 64 – bez ulgi (AWB: ostatnia wartość bez ulgi)</t>
  </si>
  <si>
    <t>imię: Anna
e-mail: anna@example.com
wiek: 64
liczba biletów: 1
kod: (puste)
karta: Nie</t>
  </si>
  <si>
    <t>TC-CEN-008</t>
  </si>
  <si>
    <t>Wiek 65 – ulga 50% (AWB: pierwsza wartość z ulgą)</t>
  </si>
  <si>
    <t>imię: Anna
e-mail: anna@example.com
wiek: 65
liczba biletów: 1
kod: (puste)
karta: Nie</t>
  </si>
  <si>
    <t>TC-CEN-009</t>
  </si>
  <si>
    <t>Kod małymi literami („kino10”) – rozpoznany</t>
  </si>
  <si>
    <t>REQ-CEN-04, REQ-CEN-03</t>
  </si>
  <si>
    <t>imię: Anna
e-mail: anna@example.com
wiek: 30
liczba biletów: 2
kod: kino10
karta: Nie</t>
  </si>
  <si>
    <t>Brak komunikatów o błędach; cena biletu 30,00 zł; rabat 10%; opłata 2,00 zł; do zapłaty 56,00 zł; „Dziękujemy za zakup!”. Bez informacji „Nieprawidłowy kod – pominięto”.</t>
  </si>
  <si>
    <t>TC-CEN-010</t>
  </si>
  <si>
    <t>Niepoprawny kod, bez karty – informacja i brak rabatu</t>
  </si>
  <si>
    <t>REQ-CEN-04, REQ-FRM-06</t>
  </si>
  <si>
    <t>imię: Anna
e-mail: anna@example.com
wiek: 30
liczba biletów: 1
kod: KINO20
karta: Nie</t>
  </si>
  <si>
    <t>Brak komunikatów o błędach oraz informacja „Nieprawidłowy kod – pominięto”; cena biletu 30,00 zł; rabat 0%; opłata 2,00 zł; do zapłaty 32,00 zł; „Dziękujemy za zakup!”.</t>
  </si>
  <si>
    <t>TC-CEN-011</t>
  </si>
  <si>
    <t>Niepoprawny kod + karta – rabat 10% tylko z karty</t>
  </si>
  <si>
    <t>imię: Anna
e-mail: anna@example.com
wiek: 30
liczba biletów: 1
kod: KINO20
karta: Tak</t>
  </si>
  <si>
    <t>Brak komunikatów o błędach oraz informacja „Nieprawidłowy kod – pominięto”; cena biletu 30,00 zł; rabat 10%; opłata 0,00 zł; do zapłaty 27,00 zł; „Dziękujemy za zakup!”.</t>
  </si>
  <si>
    <t>TC-CEN-012</t>
  </si>
  <si>
    <t>3 bilety normalne (90,00 zł) – opłata 2,00 zł (AWB: pod progiem 100)</t>
  </si>
  <si>
    <t>imię: Anna
e-mail: anna@example.com
wiek: 30
liczba biletów: 3
kod: (puste)
karta: Nie</t>
  </si>
  <si>
    <t>Brak komunikatów o błędach; cena biletu 30,00 zł; rabat 0%; opłata 2,00 zł; do zapłaty 92,00 zł; „Dziękujemy za zakup!”.</t>
  </si>
  <si>
    <t>TC-CEN-013</t>
  </si>
  <si>
    <t>4 bilety normalne (120,00 zł) – brak opłaty (AWB: nad progiem 100)</t>
  </si>
  <si>
    <t>imię: Anna
e-mail: anna@example.com
wiek: 30
liczba biletów: 4
kod: (puste)
karta: Nie</t>
  </si>
  <si>
    <t>Brak komunikatów o błędach; cena biletu 30,00 zł; rabat 0%; opłata 0,00 zł; do zapłaty 120,00 zł; „Dziękujemy za zakup!”.</t>
  </si>
  <si>
    <t>TC-CEN-014</t>
  </si>
  <si>
    <t>6 biletów ulgowych (90,00 zł) – opłata 2,00 zł</t>
  </si>
  <si>
    <t>REQ-CEN-05, REQ-CEN-02</t>
  </si>
  <si>
    <t>imię: Anna
e-mail: anna@example.com
wiek: 10
liczba biletów: 6
kod: (puste)
karta: Nie</t>
  </si>
  <si>
    <t>Brak komunikatów o błędach; cena biletu 15,00 zł; rabat 0%; opłata 2,00 zł; do zapłaty 92,00 zł; „Dziękujemy za zakup!”.</t>
  </si>
  <si>
    <t>TC-CEN-015</t>
  </si>
  <si>
    <t>7 biletów ulgowych (105,00 zł) – brak opłaty</t>
  </si>
  <si>
    <t>imię: Anna
e-mail: anna@example.com
wiek: 70
liczba biletów: 7
kod: (puste)
karta: Nie</t>
  </si>
  <si>
    <t>Brak komunikatów o błędach; cena biletu 15,00 zł; rabat 0%; opłata 0,00 zł; do zapłaty 105,00 zł; „Dziękujemy za zakup!”.</t>
  </si>
  <si>
    <t>TC-CEN-016</t>
  </si>
  <si>
    <t>Próg 100 zł liczony przed rabatem (105 zł → 94,50 zł): brak opłaty</t>
  </si>
  <si>
    <t>REQ-CEN-05, REQ-CEN-03, REQ-CEN-06</t>
  </si>
  <si>
    <t>imię: Anna
e-mail: anna@example.com
wiek: 70
liczba biletów: 7
kod: KINO10
karta: Nie</t>
  </si>
  <si>
    <t>Brak komunikatów o błędach; cena biletu 15,00 zł; rabat 10%; opłata 0,00 zł; do zapłaty 94,50 zł; „Dziękujemy za zakup!”.</t>
  </si>
  <si>
    <t>TC-CEN-017</t>
  </si>
  <si>
    <t>Ulga + rabat 15% + format kwot (38,25 zł)</t>
  </si>
  <si>
    <t>REQ-CEN-06, REQ-CEN-07, REQ-CEN-02, REQ-CEN-03</t>
  </si>
  <si>
    <t>imię: Anna
e-mail: anna@example.com
wiek: 10
liczba biletów: 3
kod: KINO10
karta: Tak</t>
  </si>
  <si>
    <t>Brak komunikatów o błędach; cena biletu 15,00 zł; rabat 15%; opłata 0,00 zł; do zapłaty 38,25 zł; „Dziękujemy za zakup!”.</t>
  </si>
  <si>
    <t>ID wymagania</t>
  </si>
  <si>
    <t>Wymaganie (skrót)</t>
  </si>
  <si>
    <t>Przypadki testowe (ID)</t>
  </si>
  <si>
    <t>Liczba przypadków</t>
  </si>
  <si>
    <t>Zaliczone</t>
  </si>
  <si>
    <t>Niezaliczone</t>
  </si>
  <si>
    <t>Pokrycie</t>
  </si>
  <si>
    <t>Pola formularza i przycisk „Kup”</t>
  </si>
  <si>
    <t>Imię 2–30 znaków: litery, spacja, myślnik</t>
  </si>
  <si>
    <t>TC-FRM-003, TC-FRM-004, TC-FRM-005, TC-FRM-006, TC-FRM-007, TC-FRM-008, TC-FRM-018</t>
  </si>
  <si>
    <t>Poprawny adres e-mail</t>
  </si>
  <si>
    <t>TC-FRM-009, TC-FRM-010, TC-FRM-018</t>
  </si>
  <si>
    <t>Wiek: liczba całkowita 1–120</t>
  </si>
  <si>
    <t>TC-FRM-011, TC-FRM-012, TC-FRM-013, TC-FRM-014, TC-FRM-018</t>
  </si>
  <si>
    <t>Liczba biletów: liczba całkowita 1–10</t>
  </si>
  <si>
    <t>TC-FRM-015, TC-FRM-016, TC-FRM-017, TC-FRM-018</t>
  </si>
  <si>
    <t>Kod promocyjny opcjonalny</t>
  </si>
  <si>
    <t>TC-FRM-001, TC-CEN-010</t>
  </si>
  <si>
    <t>Lista wszystkich błędów, brak zakupu</t>
  </si>
  <si>
    <t>Podsumowanie i „Dziękujemy za zakup!”</t>
  </si>
  <si>
    <t>Bilet normalny 30,00 zł</t>
  </si>
  <si>
    <t>TC-FRM-001, TC-CEN-004</t>
  </si>
  <si>
    <t>Ulga 50%: wiek &lt; 18 lub ≥ 65</t>
  </si>
  <si>
    <t>TC-FRM-012, TC-CEN-005, TC-CEN-006, TC-CEN-007, TC-CEN-008, TC-CEN-014, TC-CEN-015, TC-CEN-017</t>
  </si>
  <si>
    <t>Rabat 15% / 10% / 0% (karta, kod)</t>
  </si>
  <si>
    <t>TC-CEN-001, TC-CEN-002, TC-CEN-003, TC-CEN-004, TC-CEN-009, TC-CEN-011, TC-CEN-016, TC-CEN-017</t>
  </si>
  <si>
    <t>Kod KINO10, wielkość liter bez znaczenia</t>
  </si>
  <si>
    <t>TC-CEN-003, TC-CEN-009, TC-CEN-010, TC-CEN-011</t>
  </si>
  <si>
    <t>Opłata 2,00 zł; bez opłaty: karta lub ≥ 100,00 zł</t>
  </si>
  <si>
    <t>TC-FRM-001, TC-FRM-016, TC-CEN-001, TC-CEN-002, TC-CEN-003, TC-CEN-004, TC-CEN-012, TC-CEN-013, TC-CEN-014, TC-CEN-015, TC-CEN-016</t>
  </si>
  <si>
    <t>Próg 100,00 zł badany przez 90/92 i 105/120 (wartość 100,00 zł nieosiągalna).</t>
  </si>
  <si>
    <t>Wzór kwoty do zapłaty, zaokrąglenie</t>
  </si>
  <si>
    <t>TC-CEN-001, TC-CEN-002, TC-CEN-003, TC-CEN-016, TC-CEN-017</t>
  </si>
  <si>
    <t>Zaokrąglenie nie występuje przy cenach 15/30 zł i rabatach 0/10/15% (przegląd nr 10).</t>
  </si>
  <si>
    <t>TC-CEN-001, TC-CEN-017</t>
  </si>
  <si>
    <t>Karta sesji</t>
  </si>
  <si>
    <t>S1</t>
  </si>
  <si>
    <t>Zbadaj</t>
  </si>
  <si>
    <t>Symulator KinoTO (Symulator_KinoTO.xlsx) – cały formularz i podsumowanie</t>
  </si>
  <si>
    <t>Używając</t>
  </si>
  <si>
    <t>nietypowych danych: puste pola, spacje, liczby ujemne i ułamkowe, bardzo długie teksty, polskie znaki, różna wielkość liter, kombinacje karty i kodu</t>
  </si>
  <si>
    <t>Aby</t>
  </si>
  <si>
    <t>znaleźć defekty walidacji, wyliczania ceny i prezentacji wyników</t>
  </si>
  <si>
    <t>Czas</t>
  </si>
  <si>
    <t>20 minut</t>
  </si>
  <si>
    <t>Tester</t>
  </si>
  <si>
    <t>Data</t>
  </si>
  <si>
    <t>Co sprawdzono (dane wejściowe)</t>
  </si>
  <si>
    <t>Obserwacja (co się stało)</t>
  </si>
  <si>
    <t>Ocena</t>
  </si>
  <si>
    <t>ID raportu / pytania</t>
  </si>
  <si>
    <t>Czas [min]</t>
  </si>
  <si>
    <t>Tytuł (krótki opis awarii)</t>
  </si>
  <si>
    <t>Zgłaszający</t>
  </si>
  <si>
    <t>Obiekt testów / URL</t>
  </si>
  <si>
    <t>Środowisko</t>
  </si>
  <si>
    <t>Kroki do odtworzenia</t>
  </si>
  <si>
    <t>Ważność</t>
  </si>
  <si>
    <t>Powtarzalność</t>
  </si>
  <si>
    <t>Powiązany przypadek / wymaganie</t>
  </si>
  <si>
    <t>Załączniki</t>
  </si>
  <si>
    <t>Obszar</t>
  </si>
  <si>
    <t>Pozycja kontrolna (pytanie; „Tak” = OK)</t>
  </si>
  <si>
    <t>Wynik</t>
  </si>
  <si>
    <t>Uwagi / dowód</t>
  </si>
  <si>
    <t>CHK-01</t>
  </si>
  <si>
    <t>Zgodność</t>
  </si>
  <si>
    <t>Czy formularz zawiera pola: Imię, E-mail, Wiek, Liczba biletów, Kod promocyjny, „Mam Kartę Kinomaniaka” (REQ-FRM-01)?</t>
  </si>
  <si>
    <t>CHK-02</t>
  </si>
  <si>
    <t>Czy pole „Kod promocyjny” można zostawić puste bez komunikatu o błędzie (REQ-FRM-06)?</t>
  </si>
  <si>
    <t>CHK-03</t>
  </si>
  <si>
    <t>Czy przy błędnych danych nie jest wyświetlane podsumowanie ani „Dziękujemy za zakup!” (REQ-FRM-07)?</t>
  </si>
  <si>
    <t>CHK-04</t>
  </si>
  <si>
    <t>Komunikaty</t>
  </si>
  <si>
    <t>Czy każde błędne pole ma własny, osobny komunikat (REQ-FRM-07)?</t>
  </si>
  <si>
    <t>CHK-05</t>
  </si>
  <si>
    <t>Czy treść wszystkich komunikatów jest identyczna jak w specyfikacji (REQ-FRM-02…05, REQ-CEN-04)?</t>
  </si>
  <si>
    <t>CHK-06</t>
  </si>
  <si>
    <t>Czy komunikaty znikają po poprawieniu danych (nie zostają stare)?</t>
  </si>
  <si>
    <t>CHK-07</t>
  </si>
  <si>
    <t>Prezentacja wyników</t>
  </si>
  <si>
    <t>Czy wszystkie kwoty w podsumowaniu mają format „0,00 zł” (REQ-CEN-07)?</t>
  </si>
  <si>
    <t>CHK-08</t>
  </si>
  <si>
    <t>Czy podsumowanie zawiera cenę biletu, rabat, opłatę rezerwacyjną i kwotę do zapłaty (REQ-FRM-08)?</t>
  </si>
  <si>
    <t>CHK-09</t>
  </si>
  <si>
    <t>Czy kwota do zapłaty zgadza się z ręcznym przeliczeniem wg wzoru REQ-CEN-06?</t>
  </si>
  <si>
    <t>CHK-10</t>
  </si>
  <si>
    <t>Użyteczność</t>
  </si>
  <si>
    <t>Czy widać, które pola są do wypełnienia i gdzie wpisywać dane?</t>
  </si>
  <si>
    <t>CHK-11</t>
  </si>
  <si>
    <t>Czy po wyczyszczeniu pól (Delete) wynik i komunikaty wracają do stanu początkowego?</t>
  </si>
  <si>
    <t>CHK-12</t>
  </si>
  <si>
    <t>Czy nazwy pól i sekcji są spójne i bez literówek?</t>
  </si>
  <si>
    <t>Pozycja</t>
  </si>
  <si>
    <t>Wartość</t>
  </si>
  <si>
    <t>Komentarz</t>
  </si>
  <si>
    <t>IDENTYFIKACJA</t>
  </si>
  <si>
    <t>Identyfikator raportu</t>
  </si>
  <si>
    <t>Obiekt testów</t>
  </si>
  <si>
    <t>Okres testów</t>
  </si>
  <si>
    <t>Autor</t>
  </si>
  <si>
    <t>PRZYPADKI TESTOWE</t>
  </si>
  <si>
    <t>Zaprojektowane przypadki testowe</t>
  </si>
  <si>
    <t>Zablokowane</t>
  </si>
  <si>
    <t>Pominięte</t>
  </si>
  <si>
    <t>% wykonanych (zaliczone + niezaliczone)</t>
  </si>
  <si>
    <t>% zaliczonych spośród wykonanych</t>
  </si>
  <si>
    <t>WYMAGANIA (MACIERZ ŚLEDZENIA)</t>
  </si>
  <si>
    <t>Wymagania w macierzy</t>
  </si>
  <si>
    <t>Wymagania pokryte przypadkami</t>
  </si>
  <si>
    <t>% pokrycia wymagań</t>
  </si>
  <si>
    <t>LISTA KONTROLNA</t>
  </si>
  <si>
    <t>Pozycje listy kontrolnej</t>
  </si>
  <si>
    <t>Wynik „Tak”</t>
  </si>
  <si>
    <t>Wynik „Nie”</t>
  </si>
  <si>
    <t>Nie dotyczy / nie sprawdzono</t>
  </si>
  <si>
    <t>DEFEKTY</t>
  </si>
  <si>
    <t>Zgłoszone defekty</t>
  </si>
  <si>
    <t>– krytyczne</t>
  </si>
  <si>
    <t>– wysokie</t>
  </si>
  <si>
    <t>– średnie</t>
  </si>
  <si>
    <t>– niskie</t>
  </si>
  <si>
    <t>Otwarte (bez Zamknięty i Odrzucony)</t>
  </si>
  <si>
    <t>OCENA</t>
  </si>
  <si>
    <t>Zakres wykonanych prac i odstępstwa od planu</t>
  </si>
  <si>
    <t>Co zrobiono, czego nie zrobiono i dlaczego.</t>
  </si>
  <si>
    <t>Najważniejsze problemy i ryzyka</t>
  </si>
  <si>
    <t>Najpoważniejsze defekty, obszary nieprzetestowane.</t>
  </si>
  <si>
    <t>Kryteria wyjścia spełnione?</t>
  </si>
  <si>
    <t>Odnieś się do kryteriów z planu testów.</t>
  </si>
  <si>
    <t>Rekomendacja</t>
  </si>
  <si>
    <t>Np. „wydać / nie wydawać”, co naprawić w pierwszej kolejności.</t>
  </si>
  <si>
    <t>Wnioski na przyszłość (lessons learned)</t>
  </si>
  <si>
    <t>Igor Barcikowski 175675</t>
  </si>
  <si>
    <t>ISI 3 08.10.2026</t>
  </si>
  <si>
    <t>Igor Barcikowski</t>
  </si>
  <si>
    <t>Imię: puste, reszta poprawna ( e-mail anna@example.com, wiek 30, biletów 2, kod puste, karta Nie)</t>
  </si>
  <si>
    <t>komunikat "Podaj poprawne Imię"</t>
  </si>
  <si>
    <t>Pytanie</t>
  </si>
  <si>
    <t>OK</t>
  </si>
  <si>
    <t>Imię: „Żaneta” (polskie litery), reszta poprawna (e-mail anna@example.com, wiek 30, biletów 2, kod puste, karta Nie)</t>
  </si>
  <si>
    <t>Weryfikacja pomyślna</t>
  </si>
  <si>
    <t>Imię: dwie spacje, reszta poprawna (e-mail anna@example.com, wiek 30, biletów 2, kod puste, karta Nie)</t>
  </si>
  <si>
    <t>E-mail: „anna@example” (bez kropki w domenie), reszta poprawna (imię Anna,  wiek 30, biletów 2, kod puste, karta Nie)</t>
  </si>
  <si>
    <t>komunikat "Niepoprawny adres email"</t>
  </si>
  <si>
    <t>Kandydat na defekt</t>
  </si>
  <si>
    <t>komunikat "Podaj wiek od 1 do 120"</t>
  </si>
  <si>
    <t>Wiek: puste, reszta poprawna (imię Anna, e-mail anna@example.com, biletów 2, kod puste, karta Nie)</t>
  </si>
  <si>
    <t>Liczba biletów: puste, reszta poprawna (imię Anna, e-mail anna@example.com, wiek 30, kod puste, karta Nie)</t>
  </si>
  <si>
    <t>Liczba biletów: „2,5” (ułamek), reszta poprawna (imię Anna, e-mail anna@example.com, wiek 30, biletów 2,5, kod puste, karta Nie)</t>
  </si>
  <si>
    <t>Wiek: „30,5” (ułamek), reszta poprawna (imię Anna, e-mail anna@example.com, wiek 30,5, biletów 2, kod puste, karta Nie)</t>
  </si>
  <si>
    <t>komunikat "Można kupic od 1 do 10 biletów"</t>
  </si>
  <si>
    <t>Kod: „KINO10 ” (spacja na końcu), reszta poprawna (imię Anna, e-mail anna@example.com, wiek 30, biletów 2, kod KINO10, karta Nie)</t>
  </si>
  <si>
    <t>Kod: „Kino10” (mieszana wielkość liter), reszta poprawna (imię Anna, e-mail anna@example.com, wiek 30, biletów 2, kod Kino10, karta Nie)</t>
  </si>
  <si>
    <t>komunikat "Nieprawidłowy kod - pominięto"</t>
  </si>
  <si>
    <t>DEF-001</t>
  </si>
  <si>
    <t>2026-10-08</t>
  </si>
  <si>
    <t>KinoTO 1.0 (Symulator_KinoTO.xlsx)</t>
  </si>
  <si>
    <t>Symulator otwarty, wszystkie żółte pola puste, karta: Nie</t>
  </si>
  <si>
    <t>1. Wpisz: imię Anna, e-mail anna@example.com, wiek 30, liczba biletów 2, karta: Nie.
2. W polu „Kod rabatowy” wpisz Kino10.
3. Odczytaj sekcje „Komunikaty” i „Podsumowanie”.</t>
  </si>
  <si>
    <t>Kod rozpoznany (wielkość liter nie ma znaczenia, REQ-CEN-04): brak komunikatu o kodzie, rabat 10%, opłata 2,00 zł, do zapłaty 56,00 zł (2 × 30,00 × 0,90 + 2,00).</t>
  </si>
  <si>
    <t>Średnia</t>
  </si>
  <si>
    <t>Nowy</t>
  </si>
  <si>
    <t>Sesja eksploracyjna, próba 10; REQ-CEN-04, REQ-CEN-03</t>
  </si>
  <si>
    <t>Komunikat „Nieprawidłowy kod – pominięto”. Cena biletu 30.00zł. Całkowita cena 62.00zł</t>
  </si>
  <si>
    <t>Zawsze</t>
  </si>
  <si>
    <t xml:space="preserve">Windows 10, Microsoft Excel </t>
  </si>
  <si>
    <t>Formularz: kod promocyjny wpisany małymi lub mieszanymi literami („kino10”, „Kino10”) jest odrzucany jako nieprawidłowy</t>
  </si>
  <si>
    <t>Sprawdzone warianty: KINO10 – działa; KINO10 (spacja na końcu) – działa; Kino10, kino10, kino10 – odrzucane. Hipoteza: kod porównywany z uwzględnieniem wielkości liter.”</t>
  </si>
  <si>
    <t>Tak</t>
  </si>
  <si>
    <t>Taki sam jak oczekiwany</t>
  </si>
  <si>
    <t>Igor</t>
  </si>
  <si>
    <t>Zaliczony</t>
  </si>
  <si>
    <t>Brak komunikatu i podumowanie wraz z "Dziękujemy za zakup"</t>
  </si>
  <si>
    <t>Niezaliczony</t>
  </si>
  <si>
    <t>Trzy osobne komunikaty: „Podaj poprawne imię.”, „Niepoprawny adres e-mail.”, „Podaj wiek od 1 do 120.”,  brak podsumowania i brak „Dziękujemy za zakup!”.</t>
  </si>
  <si>
    <t>Brak komunikatów o błędach; cena biletu 30,00 zł; rabat 20%; opłata 0,00 zł; do zapłaty 48,00 zł; „Dziękujemy za zakup!”. (przykład ze specyfikacji)</t>
  </si>
  <si>
    <t>Brak komunikatów o błędach; cena biletu 30,00 zł; rabat 0%; opłata 2,00 zł; do zapłaty 62,00 zł; „Dziękujemy za zakup!”. Informacja „Nieprawidłowy kod – pominięto”.</t>
  </si>
  <si>
    <t>Brak komunikatów o błędach; cena biletu 15,00 zł; rabat 20%; opłata 0,00 zł; do zapłaty 36zł; „Dziękujemy za zakup!”.</t>
  </si>
  <si>
    <t>DEF-002</t>
  </si>
  <si>
    <t>DEF-004</t>
  </si>
  <si>
    <t>DEF-003</t>
  </si>
  <si>
    <t>DEF-005</t>
  </si>
  <si>
    <t>DEF-006</t>
  </si>
  <si>
    <t>DEF-007</t>
  </si>
  <si>
    <t>Nie</t>
  </si>
  <si>
    <t xml:space="preserve">Opłata rezerwacyjna jest przedstawiona w liczbie całkowitej </t>
  </si>
  <si>
    <t>Brak komunikatu i widoczne podumowanie wraz z "Dziękujemy za zakup"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</si>
</sst>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Cambria"/>
      <charset val="1"/>
    </font>
    <font>
      <i/>
      <sz val="11"/>
      <name val="Cambria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  <font>
      <sz val="11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0" fillId="0" borderId="2" xfId="0" applyBorder="1" applyAlignment="1">
      <alignment vertical="top" wrapText="1"/>
    </xf>
    <xf numFmtId="0" fontId="3" fillId="2" borderId="0" xfId="0" applyFont="1" applyFill="1"/>
    <xf numFmtId="0" fontId="0" fillId="2" borderId="0" xfId="0" applyFill="1"/>
    <xf numFmtId="0" fontId="5" fillId="0" borderId="1" xfId="0" applyFont="1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/>
    <xf numFmtId="0" fontId="0" fillId="0" borderId="4" xfId="0" applyBorder="1"/>
    <xf numFmtId="14" fontId="0" fillId="0" borderId="2" xfId="0" applyNumberFormat="1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14" fontId="0" fillId="0" borderId="5" xfId="0" applyNumberFormat="1" applyBorder="1" applyAlignment="1">
      <alignment vertical="top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zoomScaleNormal="100" workbookViewId="0">
      <pane ySplit="1" topLeftCell="A6" activePane="bottomLeft" state="frozen"/>
      <selection pane="bottomLeft" activeCell="D7" sqref="D7"/>
    </sheetView>
  </sheetViews>
  <sheetFormatPr defaultColWidth="8.7109375" defaultRowHeight="15" x14ac:dyDescent="0.25"/>
  <cols>
    <col min="1" max="1" width="28" customWidth="1"/>
    <col min="2" max="2" width="110" customWidth="1"/>
  </cols>
  <sheetData>
    <row r="1" spans="1:2" ht="34.35" customHeight="1" x14ac:dyDescent="0.25">
      <c r="A1" s="1" t="s">
        <v>0</v>
      </c>
      <c r="B1" s="2" t="s">
        <v>1</v>
      </c>
    </row>
    <row r="2" spans="1:2" ht="28.35" customHeight="1" x14ac:dyDescent="0.25">
      <c r="A2" s="3" t="s">
        <v>2</v>
      </c>
      <c r="B2" s="4" t="s">
        <v>435</v>
      </c>
    </row>
    <row r="3" spans="1:2" ht="15" customHeight="1" x14ac:dyDescent="0.25">
      <c r="A3" s="3" t="s">
        <v>3</v>
      </c>
      <c r="B3" s="4" t="s">
        <v>436</v>
      </c>
    </row>
    <row r="4" spans="1:2" ht="28.35" customHeight="1" x14ac:dyDescent="0.25">
      <c r="A4" s="3" t="s">
        <v>4</v>
      </c>
      <c r="B4" s="4" t="s">
        <v>5</v>
      </c>
    </row>
    <row r="5" spans="1:2" ht="15" customHeight="1" x14ac:dyDescent="0.25">
      <c r="A5" s="3"/>
      <c r="B5" s="4"/>
    </row>
    <row r="6" spans="1:2" ht="15" customHeight="1" x14ac:dyDescent="0.25">
      <c r="A6" s="5" t="s">
        <v>6</v>
      </c>
      <c r="B6" s="4"/>
    </row>
    <row r="7" spans="1:2" ht="28.35" customHeight="1" x14ac:dyDescent="0.25">
      <c r="A7" s="3" t="s">
        <v>7</v>
      </c>
      <c r="B7" s="4" t="s">
        <v>8</v>
      </c>
    </row>
    <row r="8" spans="1:2" ht="15" customHeight="1" x14ac:dyDescent="0.25">
      <c r="A8" s="3" t="s">
        <v>9</v>
      </c>
      <c r="B8" s="4" t="s">
        <v>10</v>
      </c>
    </row>
    <row r="9" spans="1:2" ht="28.35" customHeight="1" x14ac:dyDescent="0.25">
      <c r="A9" s="3" t="s">
        <v>11</v>
      </c>
      <c r="B9" s="4" t="s">
        <v>12</v>
      </c>
    </row>
    <row r="10" spans="1:2" ht="28.35" customHeight="1" x14ac:dyDescent="0.25">
      <c r="A10" s="3" t="s">
        <v>13</v>
      </c>
      <c r="B10" s="4" t="s">
        <v>14</v>
      </c>
    </row>
    <row r="11" spans="1:2" ht="15" customHeight="1" x14ac:dyDescent="0.25">
      <c r="A11" s="3" t="s">
        <v>15</v>
      </c>
      <c r="B11" s="4" t="s">
        <v>16</v>
      </c>
    </row>
    <row r="12" spans="1:2" ht="28.35" customHeight="1" x14ac:dyDescent="0.25">
      <c r="A12" s="3" t="s">
        <v>17</v>
      </c>
      <c r="B12" s="4" t="s">
        <v>18</v>
      </c>
    </row>
    <row r="13" spans="1:2" ht="28.35" customHeight="1" x14ac:dyDescent="0.25">
      <c r="A13" s="3" t="s">
        <v>19</v>
      </c>
      <c r="B13" s="4" t="s">
        <v>20</v>
      </c>
    </row>
    <row r="14" spans="1:2" ht="15" customHeight="1" x14ac:dyDescent="0.25">
      <c r="A14" s="3" t="s">
        <v>21</v>
      </c>
      <c r="B14" s="4" t="s">
        <v>22</v>
      </c>
    </row>
    <row r="15" spans="1:2" ht="15" customHeight="1" x14ac:dyDescent="0.25">
      <c r="A15" s="3"/>
      <c r="B15" s="4"/>
    </row>
    <row r="16" spans="1:2" ht="41.85" customHeight="1" x14ac:dyDescent="0.25">
      <c r="A16" s="5" t="s">
        <v>23</v>
      </c>
      <c r="B16" s="4" t="s">
        <v>24</v>
      </c>
    </row>
    <row r="17" spans="1:2" ht="41.85" customHeight="1" x14ac:dyDescent="0.25">
      <c r="A17" s="3" t="s">
        <v>25</v>
      </c>
      <c r="B17" s="4" t="s">
        <v>26</v>
      </c>
    </row>
    <row r="18" spans="1:2" ht="41.85" customHeight="1" x14ac:dyDescent="0.25">
      <c r="A18" s="3" t="s">
        <v>27</v>
      </c>
      <c r="B18" s="4" t="s">
        <v>28</v>
      </c>
    </row>
    <row r="19" spans="1:2" ht="28.35" customHeight="1" x14ac:dyDescent="0.25">
      <c r="A19" s="5" t="s">
        <v>29</v>
      </c>
      <c r="B19" s="4" t="s">
        <v>30</v>
      </c>
    </row>
    <row r="20" spans="1:2" ht="28.35" customHeight="1" x14ac:dyDescent="0.25">
      <c r="A20" s="5" t="s">
        <v>31</v>
      </c>
      <c r="B20" s="4" t="s">
        <v>32</v>
      </c>
    </row>
    <row r="21" spans="1:2" ht="15" customHeight="1" x14ac:dyDescent="0.25">
      <c r="A21" s="3" t="s">
        <v>33</v>
      </c>
      <c r="B21" s="4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18" customWidth="1"/>
    <col min="3" max="3" width="20" customWidth="1"/>
    <col min="4" max="5" width="50" customWidth="1"/>
  </cols>
  <sheetData>
    <row r="1" spans="1:5" ht="31.5" customHeight="1" x14ac:dyDescent="0.25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</row>
    <row r="2" spans="1:5" ht="28.35" customHeight="1" x14ac:dyDescent="0.25">
      <c r="A2" s="16">
        <v>1</v>
      </c>
      <c r="B2" s="16" t="s">
        <v>40</v>
      </c>
      <c r="C2" s="16" t="s">
        <v>41</v>
      </c>
      <c r="D2" s="16" t="s">
        <v>42</v>
      </c>
      <c r="E2" s="16" t="s">
        <v>43</v>
      </c>
    </row>
    <row r="3" spans="1:5" ht="45" x14ac:dyDescent="0.25">
      <c r="A3" s="16">
        <v>2</v>
      </c>
      <c r="B3" s="16" t="s">
        <v>44</v>
      </c>
      <c r="C3" s="16" t="s">
        <v>45</v>
      </c>
      <c r="D3" s="16" t="s">
        <v>46</v>
      </c>
      <c r="E3" s="16" t="s">
        <v>47</v>
      </c>
    </row>
    <row r="4" spans="1:5" ht="75" x14ac:dyDescent="0.25">
      <c r="A4" s="16">
        <v>3</v>
      </c>
      <c r="B4" s="16" t="s">
        <v>48</v>
      </c>
      <c r="C4" s="16" t="s">
        <v>41</v>
      </c>
      <c r="D4" s="16" t="s">
        <v>49</v>
      </c>
      <c r="E4" s="16" t="s">
        <v>50</v>
      </c>
    </row>
    <row r="5" spans="1:5" ht="45" x14ac:dyDescent="0.25">
      <c r="A5" s="16">
        <v>4</v>
      </c>
      <c r="B5" s="16" t="s">
        <v>51</v>
      </c>
      <c r="C5" s="16" t="s">
        <v>41</v>
      </c>
      <c r="D5" s="16" t="s">
        <v>52</v>
      </c>
      <c r="E5" s="16" t="s">
        <v>53</v>
      </c>
    </row>
    <row r="6" spans="1:5" ht="75" x14ac:dyDescent="0.25">
      <c r="A6" s="16">
        <v>5</v>
      </c>
      <c r="B6" s="16" t="s">
        <v>54</v>
      </c>
      <c r="C6" s="16" t="s">
        <v>55</v>
      </c>
      <c r="D6" s="16" t="s">
        <v>56</v>
      </c>
      <c r="E6" s="16" t="s">
        <v>57</v>
      </c>
    </row>
    <row r="7" spans="1:5" ht="75" x14ac:dyDescent="0.25">
      <c r="A7" s="16">
        <v>6</v>
      </c>
      <c r="B7" s="16" t="s">
        <v>58</v>
      </c>
      <c r="C7" s="16" t="s">
        <v>55</v>
      </c>
      <c r="D7" s="16" t="s">
        <v>59</v>
      </c>
      <c r="E7" s="16" t="s">
        <v>60</v>
      </c>
    </row>
    <row r="8" spans="1:5" ht="45" x14ac:dyDescent="0.25">
      <c r="A8" s="16">
        <v>7</v>
      </c>
      <c r="B8" s="16" t="s">
        <v>61</v>
      </c>
      <c r="C8" s="16" t="s">
        <v>45</v>
      </c>
      <c r="D8" s="16" t="s">
        <v>62</v>
      </c>
      <c r="E8" s="16" t="s">
        <v>63</v>
      </c>
    </row>
    <row r="9" spans="1:5" ht="45" x14ac:dyDescent="0.25">
      <c r="A9" s="16">
        <v>8</v>
      </c>
      <c r="B9" s="16" t="s">
        <v>64</v>
      </c>
      <c r="C9" s="16" t="s">
        <v>41</v>
      </c>
      <c r="D9" s="16" t="s">
        <v>65</v>
      </c>
      <c r="E9" s="16" t="s">
        <v>66</v>
      </c>
    </row>
    <row r="10" spans="1:5" ht="90" x14ac:dyDescent="0.25">
      <c r="A10" s="16">
        <v>9</v>
      </c>
      <c r="B10" s="16" t="s">
        <v>67</v>
      </c>
      <c r="C10" s="16" t="s">
        <v>41</v>
      </c>
      <c r="D10" s="16" t="s">
        <v>68</v>
      </c>
      <c r="E10" s="16" t="s">
        <v>69</v>
      </c>
    </row>
    <row r="11" spans="1:5" ht="75" x14ac:dyDescent="0.25">
      <c r="A11" s="16">
        <v>10</v>
      </c>
      <c r="B11" s="16" t="s">
        <v>70</v>
      </c>
      <c r="C11" s="16" t="s">
        <v>45</v>
      </c>
      <c r="D11" s="16" t="s">
        <v>71</v>
      </c>
      <c r="E11" s="16" t="s">
        <v>72</v>
      </c>
    </row>
    <row r="12" spans="1:5" ht="60" x14ac:dyDescent="0.25">
      <c r="A12" s="16">
        <v>11</v>
      </c>
      <c r="B12" s="16" t="s">
        <v>73</v>
      </c>
      <c r="C12" s="16" t="s">
        <v>45</v>
      </c>
      <c r="D12" s="16" t="s">
        <v>74</v>
      </c>
      <c r="E12" s="16" t="s">
        <v>75</v>
      </c>
    </row>
    <row r="13" spans="1:5" ht="75" x14ac:dyDescent="0.25">
      <c r="A13" s="16">
        <v>12</v>
      </c>
      <c r="B13" s="16" t="s">
        <v>76</v>
      </c>
      <c r="C13" s="16" t="s">
        <v>45</v>
      </c>
      <c r="D13" s="16" t="s">
        <v>77</v>
      </c>
      <c r="E13" s="16" t="s">
        <v>78</v>
      </c>
    </row>
  </sheetData>
  <autoFilter ref="A1:E1" xr:uid="{00000000-0009-0000-0000-000001000000}"/>
  <dataValidations count="1">
    <dataValidation type="list" allowBlank="1" showErrorMessage="1" errorTitle="Rodzaj problemu" error="Wybierz wartość z listy rozwijanej." promptTitle="Rodzaj problemu" prompt="Wybierz z listy" sqref="C2:C200" xr:uid="{00000000-0002-0000-0100-000000000000}">
      <formula1>"Niejednoznaczność,Brak (niekompletne),Sprzeczność,Nietestowalne,Inne"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55" customWidth="1"/>
    <col min="3" max="3" width="18" customWidth="1"/>
    <col min="4" max="4" width="12" customWidth="1"/>
    <col min="5" max="5" width="40" customWidth="1"/>
  </cols>
  <sheetData>
    <row r="1" spans="1:5" ht="31.5" customHeight="1" x14ac:dyDescent="0.25">
      <c r="A1" s="6" t="s">
        <v>79</v>
      </c>
      <c r="B1" s="6" t="s">
        <v>80</v>
      </c>
      <c r="C1" s="6" t="s">
        <v>36</v>
      </c>
      <c r="D1" s="6" t="s">
        <v>81</v>
      </c>
      <c r="E1" s="6" t="s">
        <v>82</v>
      </c>
    </row>
    <row r="2" spans="1:5" ht="15" customHeight="1" x14ac:dyDescent="0.25">
      <c r="A2" s="16" t="s">
        <v>83</v>
      </c>
      <c r="B2" s="16" t="s">
        <v>84</v>
      </c>
      <c r="C2" s="16" t="s">
        <v>85</v>
      </c>
      <c r="D2" s="16" t="s">
        <v>86</v>
      </c>
      <c r="E2" s="16"/>
    </row>
    <row r="3" spans="1:5" x14ac:dyDescent="0.25">
      <c r="A3" s="16" t="s">
        <v>87</v>
      </c>
      <c r="B3" s="16" t="s">
        <v>88</v>
      </c>
      <c r="C3" s="16" t="s">
        <v>48</v>
      </c>
      <c r="D3" s="16" t="s">
        <v>89</v>
      </c>
      <c r="E3" s="16"/>
    </row>
    <row r="4" spans="1:5" x14ac:dyDescent="0.25">
      <c r="A4" s="16" t="s">
        <v>90</v>
      </c>
      <c r="B4" s="16" t="s">
        <v>91</v>
      </c>
      <c r="C4" s="16" t="s">
        <v>48</v>
      </c>
      <c r="D4" s="16" t="s">
        <v>89</v>
      </c>
      <c r="E4" s="16"/>
    </row>
    <row r="5" spans="1:5" x14ac:dyDescent="0.25">
      <c r="A5" s="16" t="s">
        <v>92</v>
      </c>
      <c r="B5" s="16" t="s">
        <v>93</v>
      </c>
      <c r="C5" s="16" t="s">
        <v>48</v>
      </c>
      <c r="D5" s="16" t="s">
        <v>89</v>
      </c>
      <c r="E5" s="16"/>
    </row>
    <row r="6" spans="1:5" ht="30" x14ac:dyDescent="0.25">
      <c r="A6" s="16" t="s">
        <v>94</v>
      </c>
      <c r="B6" s="16" t="s">
        <v>95</v>
      </c>
      <c r="C6" s="16" t="s">
        <v>48</v>
      </c>
      <c r="D6" s="16" t="s">
        <v>89</v>
      </c>
      <c r="E6" s="16"/>
    </row>
    <row r="7" spans="1:5" ht="30" x14ac:dyDescent="0.25">
      <c r="A7" s="16" t="s">
        <v>96</v>
      </c>
      <c r="B7" s="16" t="s">
        <v>97</v>
      </c>
      <c r="C7" s="16" t="s">
        <v>51</v>
      </c>
      <c r="D7" s="16" t="s">
        <v>89</v>
      </c>
      <c r="E7" s="16"/>
    </row>
    <row r="8" spans="1:5" x14ac:dyDescent="0.25">
      <c r="A8" s="16" t="s">
        <v>98</v>
      </c>
      <c r="B8" s="16" t="s">
        <v>99</v>
      </c>
      <c r="C8" s="16" t="s">
        <v>44</v>
      </c>
      <c r="D8" s="16" t="s">
        <v>100</v>
      </c>
      <c r="E8" s="16" t="s">
        <v>101</v>
      </c>
    </row>
    <row r="9" spans="1:5" ht="30" x14ac:dyDescent="0.25">
      <c r="A9" s="16" t="s">
        <v>102</v>
      </c>
      <c r="B9" s="16" t="s">
        <v>103</v>
      </c>
      <c r="C9" s="16" t="s">
        <v>44</v>
      </c>
      <c r="D9" s="16" t="s">
        <v>89</v>
      </c>
      <c r="E9" s="16"/>
    </row>
    <row r="10" spans="1:5" ht="30" x14ac:dyDescent="0.25">
      <c r="A10" s="16" t="s">
        <v>104</v>
      </c>
      <c r="B10" s="16" t="s">
        <v>105</v>
      </c>
      <c r="C10" s="16" t="s">
        <v>40</v>
      </c>
      <c r="D10" s="16" t="s">
        <v>100</v>
      </c>
      <c r="E10" s="16"/>
    </row>
    <row r="11" spans="1:5" x14ac:dyDescent="0.25">
      <c r="A11" s="16" t="s">
        <v>106</v>
      </c>
      <c r="B11" s="16" t="s">
        <v>107</v>
      </c>
      <c r="C11" s="16" t="s">
        <v>108</v>
      </c>
      <c r="D11" s="16" t="s">
        <v>89</v>
      </c>
      <c r="E11" s="16"/>
    </row>
    <row r="12" spans="1:5" ht="30" x14ac:dyDescent="0.25">
      <c r="A12" s="16" t="s">
        <v>109</v>
      </c>
      <c r="B12" s="16" t="s">
        <v>110</v>
      </c>
      <c r="C12" s="16" t="s">
        <v>61</v>
      </c>
      <c r="D12" s="16" t="s">
        <v>100</v>
      </c>
      <c r="E12" s="16"/>
    </row>
    <row r="13" spans="1:5" x14ac:dyDescent="0.25">
      <c r="A13" s="16" t="s">
        <v>111</v>
      </c>
      <c r="B13" s="16" t="s">
        <v>112</v>
      </c>
      <c r="C13" s="16" t="s">
        <v>113</v>
      </c>
      <c r="D13" s="16" t="s">
        <v>100</v>
      </c>
      <c r="E13" s="16"/>
    </row>
    <row r="14" spans="1:5" x14ac:dyDescent="0.25">
      <c r="A14" s="16" t="s">
        <v>114</v>
      </c>
      <c r="B14" s="16" t="s">
        <v>115</v>
      </c>
      <c r="C14" s="16" t="s">
        <v>116</v>
      </c>
      <c r="D14" s="16" t="s">
        <v>100</v>
      </c>
      <c r="E14" s="16"/>
    </row>
    <row r="15" spans="1:5" x14ac:dyDescent="0.25">
      <c r="A15" s="16" t="s">
        <v>117</v>
      </c>
      <c r="B15" s="16" t="s">
        <v>118</v>
      </c>
      <c r="C15" s="16" t="s">
        <v>119</v>
      </c>
      <c r="D15" s="16" t="s">
        <v>100</v>
      </c>
      <c r="E15" s="16" t="s">
        <v>120</v>
      </c>
    </row>
    <row r="16" spans="1:5" x14ac:dyDescent="0.25">
      <c r="A16" s="16" t="s">
        <v>121</v>
      </c>
      <c r="B16" s="16" t="s">
        <v>122</v>
      </c>
      <c r="C16" s="16" t="s">
        <v>123</v>
      </c>
      <c r="D16" s="16" t="s">
        <v>100</v>
      </c>
      <c r="E16" s="16" t="s">
        <v>124</v>
      </c>
    </row>
    <row r="17" spans="1:5" x14ac:dyDescent="0.25">
      <c r="A17" s="16" t="s">
        <v>125</v>
      </c>
      <c r="B17" s="16" t="s">
        <v>126</v>
      </c>
      <c r="C17" s="16" t="s">
        <v>64</v>
      </c>
      <c r="D17" s="16" t="s">
        <v>89</v>
      </c>
      <c r="E17" s="16"/>
    </row>
    <row r="18" spans="1:5" ht="30" x14ac:dyDescent="0.25">
      <c r="A18" s="16" t="s">
        <v>127</v>
      </c>
      <c r="B18" s="16" t="s">
        <v>128</v>
      </c>
      <c r="C18" s="16" t="s">
        <v>64</v>
      </c>
      <c r="D18" s="16" t="s">
        <v>89</v>
      </c>
      <c r="E18" s="16"/>
    </row>
    <row r="19" spans="1:5" ht="30" x14ac:dyDescent="0.25">
      <c r="A19" s="16" t="s">
        <v>129</v>
      </c>
      <c r="B19" s="16" t="s">
        <v>130</v>
      </c>
      <c r="C19" s="16" t="s">
        <v>67</v>
      </c>
      <c r="D19" s="16" t="s">
        <v>100</v>
      </c>
      <c r="E19" s="16"/>
    </row>
    <row r="20" spans="1:5" x14ac:dyDescent="0.25">
      <c r="A20" s="16" t="s">
        <v>131</v>
      </c>
      <c r="B20" s="16" t="s">
        <v>132</v>
      </c>
      <c r="C20" s="16" t="s">
        <v>67</v>
      </c>
      <c r="D20" s="16" t="s">
        <v>100</v>
      </c>
      <c r="E20" s="16"/>
    </row>
    <row r="21" spans="1:5" ht="30" x14ac:dyDescent="0.25">
      <c r="A21" s="16" t="s">
        <v>133</v>
      </c>
      <c r="B21" s="16" t="s">
        <v>134</v>
      </c>
      <c r="C21" s="16" t="s">
        <v>67</v>
      </c>
      <c r="D21" s="16" t="s">
        <v>100</v>
      </c>
      <c r="E21" s="16" t="s">
        <v>135</v>
      </c>
    </row>
    <row r="22" spans="1:5" x14ac:dyDescent="0.25">
      <c r="A22" s="16" t="s">
        <v>136</v>
      </c>
      <c r="B22" s="16" t="s">
        <v>137</v>
      </c>
      <c r="C22" s="16" t="s">
        <v>70</v>
      </c>
      <c r="D22" s="16" t="s">
        <v>100</v>
      </c>
      <c r="E22" s="16"/>
    </row>
    <row r="23" spans="1:5" ht="45" x14ac:dyDescent="0.25">
      <c r="A23" s="16" t="s">
        <v>138</v>
      </c>
      <c r="B23" s="16" t="s">
        <v>139</v>
      </c>
      <c r="C23" s="16" t="s">
        <v>70</v>
      </c>
      <c r="D23" s="16" t="s">
        <v>89</v>
      </c>
      <c r="E23" s="16" t="s">
        <v>140</v>
      </c>
    </row>
    <row r="24" spans="1:5" x14ac:dyDescent="0.25">
      <c r="A24" s="16" t="s">
        <v>141</v>
      </c>
      <c r="B24" s="16" t="s">
        <v>142</v>
      </c>
      <c r="C24" s="16" t="s">
        <v>143</v>
      </c>
      <c r="D24" s="16" t="s">
        <v>86</v>
      </c>
      <c r="E24" s="16"/>
    </row>
  </sheetData>
  <autoFilter ref="A1:E1" xr:uid="{00000000-0009-0000-0000-000002000000}"/>
  <dataValidations count="1">
    <dataValidation type="list" allowBlank="1" showErrorMessage="1" errorTitle="Priorytet" error="Wybierz wartość z listy rozwijanej." promptTitle="Priorytet" prompt="Wybierz z listy" sqref="D2:D300" xr:uid="{00000000-0002-0000-0200-000000000000}">
      <formula1>"Wysoki,Średni,Niski"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36"/>
  <sheetViews>
    <sheetView zoomScaleNormal="100" workbookViewId="0">
      <pane xSplit="2" ySplit="1" topLeftCell="F20" activePane="bottomRight" state="frozen"/>
      <selection pane="topRight" activeCell="C1" sqref="C1"/>
      <selection pane="bottomLeft" activeCell="A2" sqref="A2"/>
      <selection pane="bottomRight" activeCell="I9" sqref="I9"/>
    </sheetView>
  </sheetViews>
  <sheetFormatPr defaultColWidth="8.7109375" defaultRowHeight="15" x14ac:dyDescent="0.25"/>
  <cols>
    <col min="1" max="1" width="12" customWidth="1"/>
    <col min="2" max="2" width="34" customWidth="1"/>
    <col min="3" max="3" width="16" customWidth="1"/>
    <col min="4" max="4" width="15" customWidth="1"/>
    <col min="5" max="5" width="10" customWidth="1"/>
    <col min="6" max="6" width="30" customWidth="1"/>
    <col min="7" max="7" width="32" customWidth="1"/>
    <col min="8" max="8" width="44" customWidth="1"/>
    <col min="9" max="9" width="42" customWidth="1"/>
    <col min="10" max="10" width="30" customWidth="1"/>
    <col min="11" max="11" width="14" customWidth="1"/>
    <col min="12" max="12" width="11" customWidth="1"/>
    <col min="13" max="13" width="12" customWidth="1"/>
    <col min="14" max="14" width="13" customWidth="1"/>
    <col min="15" max="15" width="28" customWidth="1"/>
  </cols>
  <sheetData>
    <row r="1" spans="1:15" ht="31.5" customHeight="1" x14ac:dyDescent="0.25">
      <c r="A1" s="7" t="s">
        <v>79</v>
      </c>
      <c r="B1" s="7" t="s">
        <v>144</v>
      </c>
      <c r="C1" s="7" t="s">
        <v>36</v>
      </c>
      <c r="D1" s="7" t="s">
        <v>145</v>
      </c>
      <c r="E1" s="7" t="s">
        <v>81</v>
      </c>
      <c r="F1" s="7" t="s">
        <v>146</v>
      </c>
      <c r="G1" s="7" t="s">
        <v>147</v>
      </c>
      <c r="H1" s="7" t="s">
        <v>148</v>
      </c>
      <c r="I1" s="7" t="s">
        <v>149</v>
      </c>
      <c r="J1" s="7" t="s">
        <v>150</v>
      </c>
      <c r="K1" s="7" t="s">
        <v>151</v>
      </c>
      <c r="L1" s="7" t="s">
        <v>152</v>
      </c>
      <c r="M1" s="7" t="s">
        <v>153</v>
      </c>
      <c r="N1" s="7" t="s">
        <v>154</v>
      </c>
      <c r="O1" s="7" t="s">
        <v>82</v>
      </c>
    </row>
    <row r="2" spans="1:15" ht="82.15" customHeight="1" x14ac:dyDescent="0.25">
      <c r="A2" s="16" t="s">
        <v>155</v>
      </c>
      <c r="B2" s="16" t="s">
        <v>156</v>
      </c>
      <c r="C2" s="16" t="s">
        <v>157</v>
      </c>
      <c r="D2" s="16" t="s">
        <v>158</v>
      </c>
      <c r="E2" s="16" t="s">
        <v>100</v>
      </c>
      <c r="F2" s="16" t="s">
        <v>159</v>
      </c>
      <c r="G2" s="16" t="s">
        <v>160</v>
      </c>
      <c r="H2" s="16" t="s">
        <v>161</v>
      </c>
      <c r="I2" s="16" t="s">
        <v>162</v>
      </c>
      <c r="J2" s="16" t="s">
        <v>472</v>
      </c>
      <c r="K2" s="16" t="s">
        <v>474</v>
      </c>
      <c r="L2" s="16"/>
      <c r="M2" s="16" t="s">
        <v>473</v>
      </c>
      <c r="N2" s="25">
        <v>46303</v>
      </c>
      <c r="O2" s="16"/>
    </row>
    <row r="3" spans="1:15" ht="75" x14ac:dyDescent="0.25">
      <c r="A3" s="16" t="s">
        <v>164</v>
      </c>
      <c r="B3" s="16" t="s">
        <v>165</v>
      </c>
      <c r="C3" s="16" t="s">
        <v>85</v>
      </c>
      <c r="D3" s="16" t="s">
        <v>166</v>
      </c>
      <c r="E3" s="16" t="s">
        <v>86</v>
      </c>
      <c r="F3" s="16" t="s">
        <v>159</v>
      </c>
      <c r="G3" s="16" t="s">
        <v>167</v>
      </c>
      <c r="H3" s="16" t="s">
        <v>168</v>
      </c>
      <c r="I3" s="16" t="s">
        <v>169</v>
      </c>
      <c r="J3" s="16" t="s">
        <v>472</v>
      </c>
      <c r="K3" s="16" t="s">
        <v>474</v>
      </c>
      <c r="L3" s="16"/>
      <c r="M3" s="24" t="s">
        <v>473</v>
      </c>
      <c r="N3" s="25">
        <v>46303</v>
      </c>
      <c r="O3" s="16"/>
    </row>
    <row r="4" spans="1:15" ht="90" x14ac:dyDescent="0.25">
      <c r="A4" s="16" t="s">
        <v>170</v>
      </c>
      <c r="B4" s="16" t="s">
        <v>171</v>
      </c>
      <c r="C4" s="16" t="s">
        <v>48</v>
      </c>
      <c r="D4" s="16" t="s">
        <v>172</v>
      </c>
      <c r="E4" s="16" t="s">
        <v>89</v>
      </c>
      <c r="F4" s="16" t="s">
        <v>159</v>
      </c>
      <c r="G4" s="16" t="s">
        <v>173</v>
      </c>
      <c r="H4" s="16" t="s">
        <v>161</v>
      </c>
      <c r="I4" s="16" t="s">
        <v>174</v>
      </c>
      <c r="J4" s="16" t="s">
        <v>472</v>
      </c>
      <c r="K4" s="16" t="s">
        <v>474</v>
      </c>
      <c r="L4" s="16"/>
      <c r="M4" s="24" t="s">
        <v>473</v>
      </c>
      <c r="N4" s="25">
        <v>46303</v>
      </c>
      <c r="O4" s="16"/>
    </row>
    <row r="5" spans="1:15" ht="90" x14ac:dyDescent="0.25">
      <c r="A5" s="16" t="s">
        <v>175</v>
      </c>
      <c r="B5" s="16" t="s">
        <v>176</v>
      </c>
      <c r="C5" s="16" t="s">
        <v>48</v>
      </c>
      <c r="D5" s="16" t="s">
        <v>172</v>
      </c>
      <c r="E5" s="16" t="s">
        <v>89</v>
      </c>
      <c r="F5" s="16" t="s">
        <v>159</v>
      </c>
      <c r="G5" s="16" t="s">
        <v>177</v>
      </c>
      <c r="H5" s="16" t="s">
        <v>161</v>
      </c>
      <c r="I5" s="16" t="s">
        <v>178</v>
      </c>
      <c r="J5" s="16" t="s">
        <v>472</v>
      </c>
      <c r="K5" s="16" t="s">
        <v>474</v>
      </c>
      <c r="L5" s="16"/>
      <c r="M5" s="24" t="s">
        <v>473</v>
      </c>
      <c r="N5" s="25">
        <v>46303</v>
      </c>
      <c r="O5" s="16"/>
    </row>
    <row r="6" spans="1:15" ht="105" x14ac:dyDescent="0.25">
      <c r="A6" s="16" t="s">
        <v>179</v>
      </c>
      <c r="B6" s="16" t="s">
        <v>180</v>
      </c>
      <c r="C6" s="16" t="s">
        <v>48</v>
      </c>
      <c r="D6" s="16" t="s">
        <v>172</v>
      </c>
      <c r="E6" s="16" t="s">
        <v>89</v>
      </c>
      <c r="F6" s="16" t="s">
        <v>159</v>
      </c>
      <c r="G6" s="16" t="s">
        <v>181</v>
      </c>
      <c r="H6" s="16" t="s">
        <v>161</v>
      </c>
      <c r="I6" s="16" t="s">
        <v>174</v>
      </c>
      <c r="J6" s="16" t="s">
        <v>472</v>
      </c>
      <c r="K6" s="16" t="s">
        <v>474</v>
      </c>
      <c r="L6" s="16"/>
      <c r="M6" s="24" t="s">
        <v>473</v>
      </c>
      <c r="N6" s="25">
        <v>46303</v>
      </c>
      <c r="O6" s="16"/>
    </row>
    <row r="7" spans="1:15" ht="105" x14ac:dyDescent="0.25">
      <c r="A7" s="16" t="s">
        <v>182</v>
      </c>
      <c r="B7" s="16" t="s">
        <v>183</v>
      </c>
      <c r="C7" s="16" t="s">
        <v>48</v>
      </c>
      <c r="D7" s="16" t="s">
        <v>172</v>
      </c>
      <c r="E7" s="16" t="s">
        <v>89</v>
      </c>
      <c r="F7" s="16" t="s">
        <v>159</v>
      </c>
      <c r="G7" s="16" t="s">
        <v>184</v>
      </c>
      <c r="H7" s="16" t="s">
        <v>161</v>
      </c>
      <c r="I7" s="16" t="s">
        <v>178</v>
      </c>
      <c r="J7" s="16" t="s">
        <v>472</v>
      </c>
      <c r="K7" s="16" t="s">
        <v>474</v>
      </c>
      <c r="L7" s="16"/>
      <c r="M7" s="24" t="s">
        <v>473</v>
      </c>
      <c r="N7" s="25">
        <v>46303</v>
      </c>
      <c r="O7" s="16"/>
    </row>
    <row r="8" spans="1:15" ht="90" x14ac:dyDescent="0.25">
      <c r="A8" s="16" t="s">
        <v>185</v>
      </c>
      <c r="B8" s="16" t="s">
        <v>186</v>
      </c>
      <c r="C8" s="16" t="s">
        <v>48</v>
      </c>
      <c r="D8" s="16" t="s">
        <v>158</v>
      </c>
      <c r="E8" s="16" t="s">
        <v>89</v>
      </c>
      <c r="F8" s="16" t="s">
        <v>159</v>
      </c>
      <c r="G8" s="16" t="s">
        <v>187</v>
      </c>
      <c r="H8" s="16" t="s">
        <v>161</v>
      </c>
      <c r="I8" s="16" t="s">
        <v>174</v>
      </c>
      <c r="J8" s="16" t="s">
        <v>472</v>
      </c>
      <c r="K8" s="16" t="s">
        <v>474</v>
      </c>
      <c r="L8" s="16"/>
      <c r="M8" s="24" t="s">
        <v>473</v>
      </c>
      <c r="N8" s="25">
        <v>46303</v>
      </c>
      <c r="O8" s="16"/>
    </row>
    <row r="9" spans="1:15" ht="90" x14ac:dyDescent="0.25">
      <c r="A9" s="16" t="s">
        <v>188</v>
      </c>
      <c r="B9" s="16" t="s">
        <v>189</v>
      </c>
      <c r="C9" s="16" t="s">
        <v>48</v>
      </c>
      <c r="D9" s="16" t="s">
        <v>158</v>
      </c>
      <c r="E9" s="16" t="s">
        <v>89</v>
      </c>
      <c r="F9" s="16" t="s">
        <v>159</v>
      </c>
      <c r="G9" s="16" t="s">
        <v>190</v>
      </c>
      <c r="H9" s="16" t="s">
        <v>161</v>
      </c>
      <c r="I9" s="16" t="s">
        <v>178</v>
      </c>
      <c r="J9" s="16" t="s">
        <v>489</v>
      </c>
      <c r="K9" s="16" t="s">
        <v>476</v>
      </c>
      <c r="L9" t="s">
        <v>457</v>
      </c>
      <c r="M9" s="24" t="s">
        <v>473</v>
      </c>
      <c r="N9" s="25">
        <v>46303</v>
      </c>
      <c r="O9" s="16"/>
    </row>
    <row r="10" spans="1:15" ht="90" x14ac:dyDescent="0.25">
      <c r="A10" s="16" t="s">
        <v>191</v>
      </c>
      <c r="B10" s="16" t="s">
        <v>192</v>
      </c>
      <c r="C10" s="16" t="s">
        <v>51</v>
      </c>
      <c r="D10" s="16" t="s">
        <v>158</v>
      </c>
      <c r="E10" s="16" t="s">
        <v>89</v>
      </c>
      <c r="F10" s="16" t="s">
        <v>159</v>
      </c>
      <c r="G10" s="16" t="s">
        <v>193</v>
      </c>
      <c r="H10" s="16" t="s">
        <v>161</v>
      </c>
      <c r="I10" s="16" t="s">
        <v>194</v>
      </c>
      <c r="J10" s="16" t="s">
        <v>472</v>
      </c>
      <c r="K10" s="16" t="s">
        <v>474</v>
      </c>
      <c r="L10" s="16"/>
      <c r="M10" s="24" t="s">
        <v>473</v>
      </c>
      <c r="N10" s="25">
        <v>46303</v>
      </c>
      <c r="O10" s="16"/>
    </row>
    <row r="11" spans="1:15" ht="90" x14ac:dyDescent="0.25">
      <c r="A11" s="16" t="s">
        <v>195</v>
      </c>
      <c r="B11" s="16" t="s">
        <v>196</v>
      </c>
      <c r="C11" s="16" t="s">
        <v>51</v>
      </c>
      <c r="D11" s="16" t="s">
        <v>158</v>
      </c>
      <c r="E11" s="16" t="s">
        <v>89</v>
      </c>
      <c r="F11" s="16" t="s">
        <v>159</v>
      </c>
      <c r="G11" s="16" t="s">
        <v>197</v>
      </c>
      <c r="H11" s="16" t="s">
        <v>161</v>
      </c>
      <c r="I11" s="16" t="s">
        <v>194</v>
      </c>
      <c r="J11" s="16" t="s">
        <v>472</v>
      </c>
      <c r="K11" s="16" t="s">
        <v>474</v>
      </c>
      <c r="L11" s="16"/>
      <c r="M11" s="24" t="s">
        <v>473</v>
      </c>
      <c r="N11" s="25">
        <v>46303</v>
      </c>
      <c r="O11" s="16"/>
    </row>
    <row r="12" spans="1:15" ht="90" x14ac:dyDescent="0.25">
      <c r="A12" s="16" t="s">
        <v>198</v>
      </c>
      <c r="B12" s="16" t="s">
        <v>199</v>
      </c>
      <c r="C12" s="16" t="s">
        <v>44</v>
      </c>
      <c r="D12" s="16" t="s">
        <v>172</v>
      </c>
      <c r="E12" s="16" t="s">
        <v>100</v>
      </c>
      <c r="F12" s="16" t="s">
        <v>159</v>
      </c>
      <c r="G12" s="16" t="s">
        <v>200</v>
      </c>
      <c r="H12" s="16" t="s">
        <v>161</v>
      </c>
      <c r="I12" s="16" t="s">
        <v>201</v>
      </c>
      <c r="J12" s="16" t="s">
        <v>472</v>
      </c>
      <c r="K12" s="16" t="s">
        <v>474</v>
      </c>
      <c r="L12" s="16"/>
      <c r="M12" s="24" t="s">
        <v>473</v>
      </c>
      <c r="N12" s="25">
        <v>46303</v>
      </c>
      <c r="O12" s="16"/>
    </row>
    <row r="13" spans="1:15" ht="90" x14ac:dyDescent="0.25">
      <c r="A13" s="16" t="s">
        <v>202</v>
      </c>
      <c r="B13" s="16" t="s">
        <v>203</v>
      </c>
      <c r="C13" s="16" t="s">
        <v>204</v>
      </c>
      <c r="D13" s="16" t="s">
        <v>172</v>
      </c>
      <c r="E13" s="16" t="s">
        <v>100</v>
      </c>
      <c r="F13" s="16" t="s">
        <v>159</v>
      </c>
      <c r="G13" s="16" t="s">
        <v>205</v>
      </c>
      <c r="H13" s="16" t="s">
        <v>161</v>
      </c>
      <c r="I13" s="16" t="s">
        <v>206</v>
      </c>
      <c r="J13" s="16" t="s">
        <v>472</v>
      </c>
      <c r="K13" s="16" t="s">
        <v>474</v>
      </c>
      <c r="L13" s="16"/>
      <c r="M13" s="24" t="s">
        <v>473</v>
      </c>
      <c r="N13" s="25">
        <v>46303</v>
      </c>
      <c r="O13" s="16"/>
    </row>
    <row r="14" spans="1:15" ht="90" x14ac:dyDescent="0.25">
      <c r="A14" s="16" t="s">
        <v>207</v>
      </c>
      <c r="B14" s="16" t="s">
        <v>208</v>
      </c>
      <c r="C14" s="16" t="s">
        <v>44</v>
      </c>
      <c r="D14" s="16" t="s">
        <v>172</v>
      </c>
      <c r="E14" s="16" t="s">
        <v>100</v>
      </c>
      <c r="F14" s="16" t="s">
        <v>159</v>
      </c>
      <c r="G14" s="16" t="s">
        <v>209</v>
      </c>
      <c r="H14" s="16" t="s">
        <v>161</v>
      </c>
      <c r="I14" s="16" t="s">
        <v>201</v>
      </c>
      <c r="J14" s="16" t="s">
        <v>472</v>
      </c>
      <c r="K14" s="16" t="s">
        <v>474</v>
      </c>
      <c r="L14" s="16"/>
      <c r="M14" s="24" t="s">
        <v>473</v>
      </c>
      <c r="N14" s="25">
        <v>46303</v>
      </c>
      <c r="O14" s="16"/>
    </row>
    <row r="15" spans="1:15" ht="90" x14ac:dyDescent="0.25">
      <c r="A15" s="16" t="s">
        <v>210</v>
      </c>
      <c r="B15" s="16" t="s">
        <v>211</v>
      </c>
      <c r="C15" s="16" t="s">
        <v>44</v>
      </c>
      <c r="D15" s="16" t="s">
        <v>158</v>
      </c>
      <c r="E15" s="16" t="s">
        <v>89</v>
      </c>
      <c r="F15" s="16" t="s">
        <v>159</v>
      </c>
      <c r="G15" s="16" t="s">
        <v>212</v>
      </c>
      <c r="H15" s="16" t="s">
        <v>161</v>
      </c>
      <c r="I15" s="16" t="s">
        <v>201</v>
      </c>
      <c r="J15" s="16" t="s">
        <v>472</v>
      </c>
      <c r="K15" s="16" t="s">
        <v>474</v>
      </c>
      <c r="L15" s="16"/>
      <c r="M15" s="24" t="s">
        <v>473</v>
      </c>
      <c r="N15" s="25">
        <v>46303</v>
      </c>
      <c r="O15" s="16"/>
    </row>
    <row r="16" spans="1:15" ht="90" x14ac:dyDescent="0.25">
      <c r="A16" s="16" t="s">
        <v>213</v>
      </c>
      <c r="B16" s="16" t="s">
        <v>214</v>
      </c>
      <c r="C16" s="16" t="s">
        <v>40</v>
      </c>
      <c r="D16" s="16" t="s">
        <v>172</v>
      </c>
      <c r="E16" s="16" t="s">
        <v>100</v>
      </c>
      <c r="F16" s="16" t="s">
        <v>159</v>
      </c>
      <c r="G16" s="16" t="s">
        <v>215</v>
      </c>
      <c r="H16" s="16" t="s">
        <v>161</v>
      </c>
      <c r="I16" s="16" t="s">
        <v>216</v>
      </c>
      <c r="J16" s="16" t="s">
        <v>472</v>
      </c>
      <c r="K16" s="16" t="s">
        <v>474</v>
      </c>
      <c r="L16" s="16"/>
      <c r="M16" s="24" t="s">
        <v>473</v>
      </c>
      <c r="N16" s="25">
        <v>46303</v>
      </c>
      <c r="O16" s="16"/>
    </row>
    <row r="17" spans="1:15" ht="90" x14ac:dyDescent="0.25">
      <c r="A17" s="16" t="s">
        <v>217</v>
      </c>
      <c r="B17" s="16" t="s">
        <v>218</v>
      </c>
      <c r="C17" s="16" t="s">
        <v>219</v>
      </c>
      <c r="D17" s="16" t="s">
        <v>172</v>
      </c>
      <c r="E17" s="16" t="s">
        <v>100</v>
      </c>
      <c r="F17" s="16" t="s">
        <v>159</v>
      </c>
      <c r="G17" s="16" t="s">
        <v>220</v>
      </c>
      <c r="H17" s="16" t="s">
        <v>161</v>
      </c>
      <c r="I17" s="16" t="s">
        <v>221</v>
      </c>
      <c r="J17" s="16" t="s">
        <v>472</v>
      </c>
      <c r="K17" s="16" t="s">
        <v>474</v>
      </c>
      <c r="L17" s="16"/>
      <c r="M17" s="24" t="s">
        <v>473</v>
      </c>
      <c r="N17" s="25">
        <v>46303</v>
      </c>
      <c r="O17" s="16"/>
    </row>
    <row r="18" spans="1:15" ht="90" x14ac:dyDescent="0.25">
      <c r="A18" s="16" t="s">
        <v>222</v>
      </c>
      <c r="B18" s="16" t="s">
        <v>223</v>
      </c>
      <c r="C18" s="16" t="s">
        <v>40</v>
      </c>
      <c r="D18" s="16" t="s">
        <v>172</v>
      </c>
      <c r="E18" s="16" t="s">
        <v>100</v>
      </c>
      <c r="F18" s="16" t="s">
        <v>159</v>
      </c>
      <c r="G18" s="16" t="s">
        <v>224</v>
      </c>
      <c r="H18" s="16" t="s">
        <v>161</v>
      </c>
      <c r="I18" s="16" t="s">
        <v>216</v>
      </c>
      <c r="J18" s="16" t="s">
        <v>475</v>
      </c>
      <c r="K18" s="16" t="s">
        <v>476</v>
      </c>
      <c r="L18" t="s">
        <v>481</v>
      </c>
      <c r="M18" s="24" t="s">
        <v>473</v>
      </c>
      <c r="N18" s="25">
        <v>46303</v>
      </c>
      <c r="O18" s="16"/>
    </row>
    <row r="19" spans="1:15" ht="90" x14ac:dyDescent="0.25">
      <c r="A19" s="16" t="s">
        <v>225</v>
      </c>
      <c r="B19" s="16" t="s">
        <v>226</v>
      </c>
      <c r="C19" s="16" t="s">
        <v>227</v>
      </c>
      <c r="D19" s="16" t="s">
        <v>158</v>
      </c>
      <c r="E19" s="16" t="s">
        <v>100</v>
      </c>
      <c r="F19" s="16" t="s">
        <v>159</v>
      </c>
      <c r="G19" s="16" t="s">
        <v>228</v>
      </c>
      <c r="H19" s="16" t="s">
        <v>161</v>
      </c>
      <c r="I19" s="16" t="s">
        <v>229</v>
      </c>
      <c r="J19" s="16" t="s">
        <v>477</v>
      </c>
      <c r="K19" s="16" t="s">
        <v>476</v>
      </c>
      <c r="L19" t="s">
        <v>483</v>
      </c>
      <c r="M19" s="24" t="s">
        <v>473</v>
      </c>
      <c r="N19" s="25">
        <v>46303</v>
      </c>
      <c r="O19" s="16"/>
    </row>
    <row r="20" spans="1:15" ht="90" x14ac:dyDescent="0.25">
      <c r="A20" s="16" t="s">
        <v>230</v>
      </c>
      <c r="B20" s="16" t="s">
        <v>231</v>
      </c>
      <c r="C20" s="16" t="s">
        <v>232</v>
      </c>
      <c r="D20" s="16" t="s">
        <v>124</v>
      </c>
      <c r="E20" s="16" t="s">
        <v>100</v>
      </c>
      <c r="F20" s="16" t="s">
        <v>159</v>
      </c>
      <c r="G20" s="16" t="s">
        <v>233</v>
      </c>
      <c r="H20" s="16" t="s">
        <v>161</v>
      </c>
      <c r="I20" s="16" t="s">
        <v>234</v>
      </c>
      <c r="J20" s="16" t="s">
        <v>478</v>
      </c>
      <c r="K20" s="16" t="s">
        <v>476</v>
      </c>
      <c r="L20" t="s">
        <v>482</v>
      </c>
      <c r="M20" s="24" t="s">
        <v>473</v>
      </c>
      <c r="N20" s="25">
        <v>46303</v>
      </c>
      <c r="O20" s="16"/>
    </row>
    <row r="21" spans="1:15" ht="90" x14ac:dyDescent="0.25">
      <c r="A21" s="16" t="s">
        <v>235</v>
      </c>
      <c r="B21" s="16" t="s">
        <v>236</v>
      </c>
      <c r="C21" s="16" t="s">
        <v>237</v>
      </c>
      <c r="D21" s="16" t="s">
        <v>124</v>
      </c>
      <c r="E21" s="16" t="s">
        <v>100</v>
      </c>
      <c r="F21" s="16" t="s">
        <v>159</v>
      </c>
      <c r="G21" s="16" t="s">
        <v>238</v>
      </c>
      <c r="H21" s="16" t="s">
        <v>161</v>
      </c>
      <c r="I21" s="16" t="s">
        <v>239</v>
      </c>
      <c r="J21" s="16" t="s">
        <v>472</v>
      </c>
      <c r="K21" s="16" t="s">
        <v>474</v>
      </c>
      <c r="L21" s="16"/>
      <c r="M21" s="24" t="s">
        <v>473</v>
      </c>
      <c r="N21" s="25">
        <v>46303</v>
      </c>
      <c r="O21" s="16"/>
    </row>
    <row r="22" spans="1:15" ht="90" x14ac:dyDescent="0.25">
      <c r="A22" s="16" t="s">
        <v>240</v>
      </c>
      <c r="B22" s="16" t="s">
        <v>241</v>
      </c>
      <c r="C22" s="16" t="s">
        <v>242</v>
      </c>
      <c r="D22" s="16" t="s">
        <v>124</v>
      </c>
      <c r="E22" s="16" t="s">
        <v>100</v>
      </c>
      <c r="F22" s="16" t="s">
        <v>159</v>
      </c>
      <c r="G22" s="16" t="s">
        <v>243</v>
      </c>
      <c r="H22" s="16" t="s">
        <v>161</v>
      </c>
      <c r="I22" s="16" t="s">
        <v>244</v>
      </c>
      <c r="J22" s="16" t="s">
        <v>472</v>
      </c>
      <c r="K22" s="16" t="s">
        <v>474</v>
      </c>
      <c r="L22" s="16"/>
      <c r="M22" s="24" t="s">
        <v>473</v>
      </c>
      <c r="N22" s="25">
        <v>46303</v>
      </c>
      <c r="O22" s="16"/>
    </row>
    <row r="23" spans="1:15" ht="90" x14ac:dyDescent="0.25">
      <c r="A23" s="16" t="s">
        <v>245</v>
      </c>
      <c r="B23" s="16" t="s">
        <v>246</v>
      </c>
      <c r="C23" s="16" t="s">
        <v>247</v>
      </c>
      <c r="D23" s="16" t="s">
        <v>124</v>
      </c>
      <c r="E23" s="16" t="s">
        <v>100</v>
      </c>
      <c r="F23" s="16" t="s">
        <v>159</v>
      </c>
      <c r="G23" s="16" t="s">
        <v>248</v>
      </c>
      <c r="H23" s="16" t="s">
        <v>161</v>
      </c>
      <c r="I23" s="16" t="s">
        <v>174</v>
      </c>
      <c r="J23" s="16" t="s">
        <v>472</v>
      </c>
      <c r="K23" s="16" t="s">
        <v>474</v>
      </c>
      <c r="L23" s="16"/>
      <c r="M23" s="24" t="s">
        <v>473</v>
      </c>
      <c r="N23" s="25">
        <v>46303</v>
      </c>
      <c r="O23" s="16"/>
    </row>
    <row r="24" spans="1:15" ht="90" x14ac:dyDescent="0.25">
      <c r="A24" s="16" t="s">
        <v>249</v>
      </c>
      <c r="B24" s="16" t="s">
        <v>250</v>
      </c>
      <c r="C24" s="16" t="s">
        <v>119</v>
      </c>
      <c r="D24" s="16" t="s">
        <v>172</v>
      </c>
      <c r="E24" s="16" t="s">
        <v>100</v>
      </c>
      <c r="F24" s="16" t="s">
        <v>159</v>
      </c>
      <c r="G24" s="16" t="s">
        <v>251</v>
      </c>
      <c r="H24" s="16" t="s">
        <v>161</v>
      </c>
      <c r="I24" s="16" t="s">
        <v>206</v>
      </c>
      <c r="J24" s="16" t="s">
        <v>472</v>
      </c>
      <c r="K24" s="16" t="s">
        <v>474</v>
      </c>
      <c r="L24" s="16"/>
      <c r="M24" s="24" t="s">
        <v>473</v>
      </c>
      <c r="N24" s="25">
        <v>46303</v>
      </c>
      <c r="O24" s="16"/>
    </row>
    <row r="25" spans="1:15" ht="90" x14ac:dyDescent="0.25">
      <c r="A25" s="16" t="s">
        <v>252</v>
      </c>
      <c r="B25" s="16" t="s">
        <v>253</v>
      </c>
      <c r="C25" s="16" t="s">
        <v>119</v>
      </c>
      <c r="D25" s="16" t="s">
        <v>172</v>
      </c>
      <c r="E25" s="16" t="s">
        <v>100</v>
      </c>
      <c r="F25" s="16" t="s">
        <v>159</v>
      </c>
      <c r="G25" s="16" t="s">
        <v>254</v>
      </c>
      <c r="H25" s="16" t="s">
        <v>161</v>
      </c>
      <c r="I25" s="16" t="s">
        <v>174</v>
      </c>
      <c r="J25" s="16" t="s">
        <v>472</v>
      </c>
      <c r="K25" s="16" t="s">
        <v>474</v>
      </c>
      <c r="L25" s="16"/>
      <c r="M25" s="24" t="s">
        <v>473</v>
      </c>
      <c r="N25" s="25">
        <v>46303</v>
      </c>
      <c r="O25" s="16"/>
    </row>
    <row r="26" spans="1:15" ht="90" x14ac:dyDescent="0.25">
      <c r="A26" s="16" t="s">
        <v>255</v>
      </c>
      <c r="B26" s="16" t="s">
        <v>256</v>
      </c>
      <c r="C26" s="16" t="s">
        <v>119</v>
      </c>
      <c r="D26" s="16" t="s">
        <v>172</v>
      </c>
      <c r="E26" s="16" t="s">
        <v>100</v>
      </c>
      <c r="F26" s="16" t="s">
        <v>159</v>
      </c>
      <c r="G26" s="16" t="s">
        <v>257</v>
      </c>
      <c r="H26" s="16" t="s">
        <v>161</v>
      </c>
      <c r="I26" s="16" t="s">
        <v>174</v>
      </c>
      <c r="J26" s="16" t="s">
        <v>472</v>
      </c>
      <c r="K26" s="16" t="s">
        <v>474</v>
      </c>
      <c r="L26" s="16"/>
      <c r="M26" s="24" t="s">
        <v>473</v>
      </c>
      <c r="N26" s="25">
        <v>46303</v>
      </c>
      <c r="O26" s="16"/>
    </row>
    <row r="27" spans="1:15" ht="90" x14ac:dyDescent="0.25">
      <c r="A27" s="16" t="s">
        <v>258</v>
      </c>
      <c r="B27" s="16" t="s">
        <v>259</v>
      </c>
      <c r="C27" s="16" t="s">
        <v>119</v>
      </c>
      <c r="D27" s="16" t="s">
        <v>172</v>
      </c>
      <c r="E27" s="16" t="s">
        <v>100</v>
      </c>
      <c r="F27" s="16" t="s">
        <v>159</v>
      </c>
      <c r="G27" s="16" t="s">
        <v>260</v>
      </c>
      <c r="H27" s="16" t="s">
        <v>161</v>
      </c>
      <c r="I27" s="16" t="s">
        <v>206</v>
      </c>
      <c r="J27" s="16" t="s">
        <v>174</v>
      </c>
      <c r="K27" s="16" t="s">
        <v>476</v>
      </c>
      <c r="L27" t="s">
        <v>484</v>
      </c>
      <c r="M27" s="24" t="s">
        <v>473</v>
      </c>
      <c r="N27" s="25">
        <v>46303</v>
      </c>
      <c r="O27" s="16"/>
    </row>
    <row r="28" spans="1:15" ht="90" x14ac:dyDescent="0.25">
      <c r="A28" s="16" t="s">
        <v>261</v>
      </c>
      <c r="B28" s="16" t="s">
        <v>262</v>
      </c>
      <c r="C28" s="16" t="s">
        <v>263</v>
      </c>
      <c r="D28" s="16" t="s">
        <v>158</v>
      </c>
      <c r="E28" s="16" t="s">
        <v>89</v>
      </c>
      <c r="F28" s="16" t="s">
        <v>159</v>
      </c>
      <c r="G28" s="16" t="s">
        <v>264</v>
      </c>
      <c r="H28" s="16" t="s">
        <v>161</v>
      </c>
      <c r="I28" s="16" t="s">
        <v>265</v>
      </c>
      <c r="J28" s="16" t="s">
        <v>479</v>
      </c>
      <c r="K28" s="16" t="s">
        <v>476</v>
      </c>
      <c r="L28" t="s">
        <v>485</v>
      </c>
      <c r="M28" s="24" t="s">
        <v>473</v>
      </c>
      <c r="N28" s="25">
        <v>46303</v>
      </c>
      <c r="O28" s="16"/>
    </row>
    <row r="29" spans="1:15" ht="90" x14ac:dyDescent="0.25">
      <c r="A29" s="16" t="s">
        <v>266</v>
      </c>
      <c r="B29" s="16" t="s">
        <v>267</v>
      </c>
      <c r="C29" s="16" t="s">
        <v>268</v>
      </c>
      <c r="D29" s="16" t="s">
        <v>158</v>
      </c>
      <c r="E29" s="16" t="s">
        <v>89</v>
      </c>
      <c r="F29" s="16" t="s">
        <v>159</v>
      </c>
      <c r="G29" s="16" t="s">
        <v>269</v>
      </c>
      <c r="H29" s="16" t="s">
        <v>161</v>
      </c>
      <c r="I29" s="16" t="s">
        <v>270</v>
      </c>
      <c r="J29" s="16" t="s">
        <v>472</v>
      </c>
      <c r="K29" s="16" t="s">
        <v>474</v>
      </c>
      <c r="L29" s="16"/>
      <c r="M29" s="24" t="s">
        <v>473</v>
      </c>
      <c r="N29" s="25">
        <v>46303</v>
      </c>
      <c r="O29" s="16"/>
    </row>
    <row r="30" spans="1:15" ht="90" x14ac:dyDescent="0.25">
      <c r="A30" s="16" t="s">
        <v>271</v>
      </c>
      <c r="B30" s="16" t="s">
        <v>272</v>
      </c>
      <c r="C30" s="16" t="s">
        <v>263</v>
      </c>
      <c r="D30" s="16" t="s">
        <v>158</v>
      </c>
      <c r="E30" s="16" t="s">
        <v>89</v>
      </c>
      <c r="F30" s="16" t="s">
        <v>159</v>
      </c>
      <c r="G30" s="16" t="s">
        <v>273</v>
      </c>
      <c r="H30" s="16" t="s">
        <v>161</v>
      </c>
      <c r="I30" s="16" t="s">
        <v>274</v>
      </c>
      <c r="J30" s="16" t="s">
        <v>472</v>
      </c>
      <c r="K30" s="16" t="s">
        <v>474</v>
      </c>
      <c r="L30" s="16"/>
      <c r="M30" s="24" t="s">
        <v>473</v>
      </c>
      <c r="N30" s="25">
        <v>46303</v>
      </c>
      <c r="O30" s="16"/>
    </row>
    <row r="31" spans="1:15" ht="90" x14ac:dyDescent="0.25">
      <c r="A31" s="16" t="s">
        <v>275</v>
      </c>
      <c r="B31" s="16" t="s">
        <v>276</v>
      </c>
      <c r="C31" s="16" t="s">
        <v>67</v>
      </c>
      <c r="D31" s="16" t="s">
        <v>172</v>
      </c>
      <c r="E31" s="16" t="s">
        <v>100</v>
      </c>
      <c r="F31" s="16" t="s">
        <v>159</v>
      </c>
      <c r="G31" s="16" t="s">
        <v>277</v>
      </c>
      <c r="H31" s="16" t="s">
        <v>161</v>
      </c>
      <c r="I31" s="16" t="s">
        <v>278</v>
      </c>
      <c r="J31" s="16" t="s">
        <v>472</v>
      </c>
      <c r="K31" s="16" t="s">
        <v>474</v>
      </c>
      <c r="L31" s="16"/>
      <c r="M31" s="24" t="s">
        <v>473</v>
      </c>
      <c r="N31" s="25">
        <v>46303</v>
      </c>
      <c r="O31" s="16"/>
    </row>
    <row r="32" spans="1:15" ht="90" x14ac:dyDescent="0.25">
      <c r="A32" s="16" t="s">
        <v>279</v>
      </c>
      <c r="B32" s="16" t="s">
        <v>280</v>
      </c>
      <c r="C32" s="16" t="s">
        <v>67</v>
      </c>
      <c r="D32" s="16" t="s">
        <v>172</v>
      </c>
      <c r="E32" s="16" t="s">
        <v>100</v>
      </c>
      <c r="F32" s="16" t="s">
        <v>159</v>
      </c>
      <c r="G32" s="16" t="s">
        <v>281</v>
      </c>
      <c r="H32" s="16" t="s">
        <v>161</v>
      </c>
      <c r="I32" s="16" t="s">
        <v>282</v>
      </c>
      <c r="J32" s="16" t="s">
        <v>472</v>
      </c>
      <c r="K32" s="16" t="s">
        <v>474</v>
      </c>
      <c r="L32" s="16"/>
      <c r="M32" s="24" t="s">
        <v>473</v>
      </c>
      <c r="N32" s="25">
        <v>46303</v>
      </c>
      <c r="O32" s="16"/>
    </row>
    <row r="33" spans="1:15" ht="90" x14ac:dyDescent="0.25">
      <c r="A33" s="16" t="s">
        <v>283</v>
      </c>
      <c r="B33" s="16" t="s">
        <v>284</v>
      </c>
      <c r="C33" s="16" t="s">
        <v>285</v>
      </c>
      <c r="D33" s="16" t="s">
        <v>172</v>
      </c>
      <c r="E33" s="16" t="s">
        <v>100</v>
      </c>
      <c r="F33" s="16" t="s">
        <v>159</v>
      </c>
      <c r="G33" s="16" t="s">
        <v>286</v>
      </c>
      <c r="H33" s="16" t="s">
        <v>161</v>
      </c>
      <c r="I33" s="16" t="s">
        <v>287</v>
      </c>
      <c r="J33" s="16" t="s">
        <v>472</v>
      </c>
      <c r="K33" s="16" t="s">
        <v>474</v>
      </c>
      <c r="L33" s="16"/>
      <c r="M33" s="24" t="s">
        <v>473</v>
      </c>
      <c r="N33" s="25">
        <v>46303</v>
      </c>
      <c r="O33" s="16"/>
    </row>
    <row r="34" spans="1:15" ht="90" x14ac:dyDescent="0.25">
      <c r="A34" s="16" t="s">
        <v>288</v>
      </c>
      <c r="B34" s="16" t="s">
        <v>289</v>
      </c>
      <c r="C34" s="16" t="s">
        <v>285</v>
      </c>
      <c r="D34" s="16" t="s">
        <v>172</v>
      </c>
      <c r="E34" s="16" t="s">
        <v>100</v>
      </c>
      <c r="F34" s="16" t="s">
        <v>159</v>
      </c>
      <c r="G34" s="16" t="s">
        <v>290</v>
      </c>
      <c r="H34" s="16" t="s">
        <v>161</v>
      </c>
      <c r="I34" s="16" t="s">
        <v>291</v>
      </c>
      <c r="J34" s="16" t="s">
        <v>472</v>
      </c>
      <c r="K34" s="16" t="s">
        <v>474</v>
      </c>
      <c r="L34" s="16"/>
      <c r="M34" s="24" t="s">
        <v>473</v>
      </c>
      <c r="N34" s="25">
        <v>46303</v>
      </c>
      <c r="O34" s="16"/>
    </row>
    <row r="35" spans="1:15" ht="90" x14ac:dyDescent="0.25">
      <c r="A35" s="16" t="s">
        <v>292</v>
      </c>
      <c r="B35" s="16" t="s">
        <v>293</v>
      </c>
      <c r="C35" s="16" t="s">
        <v>294</v>
      </c>
      <c r="D35" s="16" t="s">
        <v>124</v>
      </c>
      <c r="E35" s="16" t="s">
        <v>100</v>
      </c>
      <c r="F35" s="16" t="s">
        <v>159</v>
      </c>
      <c r="G35" s="16" t="s">
        <v>295</v>
      </c>
      <c r="H35" s="16" t="s">
        <v>161</v>
      </c>
      <c r="I35" s="16" t="s">
        <v>296</v>
      </c>
      <c r="J35" s="16" t="s">
        <v>472</v>
      </c>
      <c r="K35" s="16" t="s">
        <v>474</v>
      </c>
      <c r="L35" s="16"/>
      <c r="M35" s="24" t="s">
        <v>473</v>
      </c>
      <c r="N35" s="25">
        <v>46303</v>
      </c>
      <c r="O35" s="16"/>
    </row>
    <row r="36" spans="1:15" ht="90" x14ac:dyDescent="0.25">
      <c r="A36" s="16" t="s">
        <v>297</v>
      </c>
      <c r="B36" s="16" t="s">
        <v>298</v>
      </c>
      <c r="C36" s="16" t="s">
        <v>299</v>
      </c>
      <c r="D36" s="16" t="s">
        <v>158</v>
      </c>
      <c r="E36" s="16" t="s">
        <v>100</v>
      </c>
      <c r="F36" s="16" t="s">
        <v>159</v>
      </c>
      <c r="G36" s="16" t="s">
        <v>300</v>
      </c>
      <c r="H36" s="16" t="s">
        <v>161</v>
      </c>
      <c r="I36" s="16" t="s">
        <v>301</v>
      </c>
      <c r="J36" s="16" t="s">
        <v>480</v>
      </c>
      <c r="K36" s="16" t="s">
        <v>476</v>
      </c>
      <c r="L36" s="16" t="s">
        <v>486</v>
      </c>
      <c r="M36" s="24" t="s">
        <v>473</v>
      </c>
      <c r="N36" s="25">
        <v>46303</v>
      </c>
      <c r="O36" s="16"/>
    </row>
  </sheetData>
  <autoFilter ref="A1:O36" xr:uid="{00000000-0009-0000-0000-000003000000}"/>
  <dataValidations count="3">
    <dataValidation type="list" allowBlank="1" showInputMessage="1" showErrorMessage="1" errorTitle="Technika" error="Wybierz wartość z listy rozwijanej." promptTitle="Technika" prompt="Wybierz z listy" sqref="D2:D300" xr:uid="{00000000-0002-0000-0300-000000000000}">
      <formula1>"EP,AWB,Tablica decyzyjna,Przejścia stanów,Przypadki użycia,Doświadczenie,Lista kontrolna,Na podstawie wymagania"</formula1>
      <formula2>0</formula2>
    </dataValidation>
    <dataValidation type="list" allowBlank="1" showInputMessage="1" showErrorMessage="1" errorTitle="Priorytet" error="Wybierz wartość z listy rozwijanej." promptTitle="Priorytet" prompt="Wybierz z listy" sqref="E2:E300" xr:uid="{00000000-0002-0000-0300-000001000000}">
      <formula1>"Wysoki,Średni,Niski"</formula1>
      <formula2>0</formula2>
    </dataValidation>
    <dataValidation type="list" allowBlank="1" showInputMessage="1" showErrorMessage="1" errorTitle="Status" error="Wybierz wartość z listy rozwijanej." promptTitle="Status" prompt="Wybierz z listy" sqref="K2:K300" xr:uid="{00000000-0002-0000-0300-000002000000}">
      <formula1>"Nie wykonano,Zaliczony,Niezaliczony,Zablokowany,Pominięty"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2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4" customWidth="1"/>
    <col min="2" max="2" width="50" customWidth="1"/>
    <col min="3" max="3" width="10" customWidth="1"/>
    <col min="4" max="4" width="34" customWidth="1"/>
    <col min="5" max="5" width="11" customWidth="1"/>
    <col min="6" max="6" width="10" customWidth="1"/>
    <col min="7" max="7" width="11" customWidth="1"/>
    <col min="8" max="8" width="12" customWidth="1"/>
    <col min="9" max="9" width="36" customWidth="1"/>
  </cols>
  <sheetData>
    <row r="1" spans="1:9" ht="31.5" customHeight="1" x14ac:dyDescent="0.25">
      <c r="A1" s="7" t="s">
        <v>302</v>
      </c>
      <c r="B1" s="7" t="s">
        <v>303</v>
      </c>
      <c r="C1" s="7" t="s">
        <v>81</v>
      </c>
      <c r="D1" s="7" t="s">
        <v>304</v>
      </c>
      <c r="E1" s="7" t="s">
        <v>305</v>
      </c>
      <c r="F1" s="7" t="s">
        <v>306</v>
      </c>
      <c r="G1" s="7" t="s">
        <v>307</v>
      </c>
      <c r="H1" s="7" t="s">
        <v>308</v>
      </c>
      <c r="I1" s="7" t="s">
        <v>82</v>
      </c>
    </row>
    <row r="2" spans="1:9" ht="15" customHeight="1" x14ac:dyDescent="0.25">
      <c r="A2" s="9" t="s">
        <v>85</v>
      </c>
      <c r="B2" s="9" t="s">
        <v>309</v>
      </c>
      <c r="C2" s="9" t="s">
        <v>86</v>
      </c>
      <c r="D2" s="9" t="s">
        <v>164</v>
      </c>
      <c r="E2" s="8">
        <f>IF(A2="","",COUNTIF('Przypadki testowe'!$C$2:$C$300,"*"&amp;A2&amp;"*"))</f>
        <v>1</v>
      </c>
      <c r="F2" s="8">
        <f>IF(A2="","",COUNTIFS('Przypadki testowe'!$C$2:$C$300,"*"&amp;A2&amp;"*",'Przypadki testowe'!$K$2:$K$300,"Zaliczony"))</f>
        <v>1</v>
      </c>
      <c r="G2" s="8">
        <f>IF(A2="","",COUNTIFS('Przypadki testowe'!$C$2:$C$300,"*"&amp;A2&amp;"*",'Przypadki testowe'!$K$2:$K$300,"Niezaliczony"))</f>
        <v>0</v>
      </c>
      <c r="H2" s="8" t="str">
        <f t="shared" ref="H2:H33" si="0">IF(A2="","",IF(E2&gt;0,"Pokryte","BRAK"))</f>
        <v>Pokryte</v>
      </c>
      <c r="I2" s="9"/>
    </row>
    <row r="3" spans="1:9" ht="15" customHeight="1" x14ac:dyDescent="0.25">
      <c r="A3" t="s">
        <v>48</v>
      </c>
      <c r="B3" t="s">
        <v>310</v>
      </c>
      <c r="C3" t="s">
        <v>89</v>
      </c>
      <c r="D3" s="4" t="s">
        <v>311</v>
      </c>
      <c r="E3">
        <f>IF(A3="","",COUNTIF('Przypadki testowe'!$C$2:$C$300,"*"&amp;A3&amp;"*"))</f>
        <v>7</v>
      </c>
      <c r="F3">
        <f>IF(A3="","",COUNTIFS('Przypadki testowe'!$C$2:$C$300,"*"&amp;A3&amp;"*",'Przypadki testowe'!$K$2:$K$300,"Zaliczony"))</f>
        <v>5</v>
      </c>
      <c r="G3">
        <f>IF(A3="","",COUNTIFS('Przypadki testowe'!$C$2:$C$300,"*"&amp;A3&amp;"*",'Przypadki testowe'!$K$2:$K$300,"Niezaliczony"))</f>
        <v>2</v>
      </c>
      <c r="H3" t="str">
        <f t="shared" si="0"/>
        <v>Pokryte</v>
      </c>
    </row>
    <row r="4" spans="1:9" ht="15" customHeight="1" x14ac:dyDescent="0.25">
      <c r="A4" t="s">
        <v>51</v>
      </c>
      <c r="B4" t="s">
        <v>312</v>
      </c>
      <c r="C4" t="s">
        <v>89</v>
      </c>
      <c r="D4" s="4" t="s">
        <v>313</v>
      </c>
      <c r="E4">
        <f>IF(A4="","",COUNTIF('Przypadki testowe'!$C$2:$C$300,"*"&amp;A4&amp;"*"))</f>
        <v>3</v>
      </c>
      <c r="F4">
        <f>IF(A4="","",COUNTIFS('Przypadki testowe'!$C$2:$C$300,"*"&amp;A4&amp;"*",'Przypadki testowe'!$K$2:$K$300,"Zaliczony"))</f>
        <v>2</v>
      </c>
      <c r="G4">
        <f>IF(A4="","",COUNTIFS('Przypadki testowe'!$C$2:$C$300,"*"&amp;A4&amp;"*",'Przypadki testowe'!$K$2:$K$300,"Niezaliczony"))</f>
        <v>1</v>
      </c>
      <c r="H4" t="str">
        <f t="shared" si="0"/>
        <v>Pokryte</v>
      </c>
    </row>
    <row r="5" spans="1:9" ht="15" customHeight="1" x14ac:dyDescent="0.25">
      <c r="A5" t="s">
        <v>44</v>
      </c>
      <c r="B5" t="s">
        <v>314</v>
      </c>
      <c r="C5" t="s">
        <v>100</v>
      </c>
      <c r="D5" s="4" t="s">
        <v>315</v>
      </c>
      <c r="E5">
        <f>IF(A5="","",COUNTIF('Przypadki testowe'!$C$2:$C$300,"*"&amp;A5&amp;"*"))</f>
        <v>5</v>
      </c>
      <c r="F5">
        <f>IF(A5="","",COUNTIFS('Przypadki testowe'!$C$2:$C$300,"*"&amp;A5&amp;"*",'Przypadki testowe'!$K$2:$K$300,"Zaliczony"))</f>
        <v>4</v>
      </c>
      <c r="G5">
        <f>IF(A5="","",COUNTIFS('Przypadki testowe'!$C$2:$C$300,"*"&amp;A5&amp;"*",'Przypadki testowe'!$K$2:$K$300,"Niezaliczony"))</f>
        <v>1</v>
      </c>
      <c r="H5" t="str">
        <f t="shared" si="0"/>
        <v>Pokryte</v>
      </c>
    </row>
    <row r="6" spans="1:9" ht="15" customHeight="1" x14ac:dyDescent="0.25">
      <c r="A6" t="s">
        <v>40</v>
      </c>
      <c r="B6" t="s">
        <v>316</v>
      </c>
      <c r="C6" t="s">
        <v>100</v>
      </c>
      <c r="D6" s="4" t="s">
        <v>317</v>
      </c>
      <c r="E6">
        <f>IF(A6="","",COUNTIF('Przypadki testowe'!$C$2:$C$300,"*"&amp;A6&amp;"*"))</f>
        <v>4</v>
      </c>
      <c r="F6">
        <f>IF(A6="","",COUNTIFS('Przypadki testowe'!$C$2:$C$300,"*"&amp;A6&amp;"*",'Przypadki testowe'!$K$2:$K$300,"Zaliczony"))</f>
        <v>2</v>
      </c>
      <c r="G6">
        <f>IF(A6="","",COUNTIFS('Przypadki testowe'!$C$2:$C$300,"*"&amp;A6&amp;"*",'Przypadki testowe'!$K$2:$K$300,"Niezaliczony"))</f>
        <v>2</v>
      </c>
      <c r="H6" t="str">
        <f t="shared" si="0"/>
        <v>Pokryte</v>
      </c>
    </row>
    <row r="7" spans="1:9" ht="15" customHeight="1" x14ac:dyDescent="0.25">
      <c r="A7" t="s">
        <v>108</v>
      </c>
      <c r="B7" t="s">
        <v>318</v>
      </c>
      <c r="C7" t="s">
        <v>89</v>
      </c>
      <c r="D7" s="4" t="s">
        <v>319</v>
      </c>
      <c r="E7">
        <f>IF(A7="","",COUNTIF('Przypadki testowe'!$C$2:$C$300,"*"&amp;A7&amp;"*"))</f>
        <v>2</v>
      </c>
      <c r="F7">
        <f>IF(A7="","",COUNTIFS('Przypadki testowe'!$C$2:$C$300,"*"&amp;A7&amp;"*",'Przypadki testowe'!$K$2:$K$300,"Zaliczony"))</f>
        <v>2</v>
      </c>
      <c r="G7">
        <f>IF(A7="","",COUNTIFS('Przypadki testowe'!$C$2:$C$300,"*"&amp;A7&amp;"*",'Przypadki testowe'!$K$2:$K$300,"Niezaliczony"))</f>
        <v>0</v>
      </c>
      <c r="H7" t="str">
        <f t="shared" si="0"/>
        <v>Pokryte</v>
      </c>
    </row>
    <row r="8" spans="1:9" ht="15" customHeight="1" x14ac:dyDescent="0.25">
      <c r="A8" t="s">
        <v>61</v>
      </c>
      <c r="B8" t="s">
        <v>320</v>
      </c>
      <c r="C8" t="s">
        <v>100</v>
      </c>
      <c r="D8" s="4" t="s">
        <v>225</v>
      </c>
      <c r="E8">
        <f>IF(A8="","",COUNTIF('Przypadki testowe'!$C$2:$C$300,"*"&amp;A8&amp;"*"))</f>
        <v>1</v>
      </c>
      <c r="F8">
        <f>IF(A8="","",COUNTIFS('Przypadki testowe'!$C$2:$C$300,"*"&amp;A8&amp;"*",'Przypadki testowe'!$K$2:$K$300,"Zaliczony"))</f>
        <v>0</v>
      </c>
      <c r="G8">
        <f>IF(A8="","",COUNTIFS('Przypadki testowe'!$C$2:$C$300,"*"&amp;A8&amp;"*",'Przypadki testowe'!$K$2:$K$300,"Niezaliczony"))</f>
        <v>1</v>
      </c>
      <c r="H8" t="str">
        <f t="shared" si="0"/>
        <v>Pokryte</v>
      </c>
    </row>
    <row r="9" spans="1:9" ht="15" customHeight="1" x14ac:dyDescent="0.25">
      <c r="A9" t="s">
        <v>113</v>
      </c>
      <c r="B9" t="s">
        <v>321</v>
      </c>
      <c r="C9" t="s">
        <v>100</v>
      </c>
      <c r="D9" s="4" t="s">
        <v>155</v>
      </c>
      <c r="E9">
        <f>IF(A9="","",COUNTIF('Przypadki testowe'!$C$2:$C$300,"*"&amp;A9&amp;"*"))</f>
        <v>1</v>
      </c>
      <c r="F9">
        <f>IF(A9="","",COUNTIFS('Przypadki testowe'!$C$2:$C$300,"*"&amp;A9&amp;"*",'Przypadki testowe'!$K$2:$K$300,"Zaliczony"))</f>
        <v>1</v>
      </c>
      <c r="G9">
        <f>IF(A9="","",COUNTIFS('Przypadki testowe'!$C$2:$C$300,"*"&amp;A9&amp;"*",'Przypadki testowe'!$K$2:$K$300,"Niezaliczony"))</f>
        <v>0</v>
      </c>
      <c r="H9" t="str">
        <f t="shared" si="0"/>
        <v>Pokryte</v>
      </c>
    </row>
    <row r="10" spans="1:9" ht="15" customHeight="1" x14ac:dyDescent="0.25">
      <c r="A10" t="s">
        <v>116</v>
      </c>
      <c r="B10" t="s">
        <v>322</v>
      </c>
      <c r="C10" t="s">
        <v>100</v>
      </c>
      <c r="D10" s="4" t="s">
        <v>323</v>
      </c>
      <c r="E10">
        <f>IF(A10="","",COUNTIF('Przypadki testowe'!$C$2:$C$300,"*"&amp;A10&amp;"*"))</f>
        <v>2</v>
      </c>
      <c r="F10">
        <f>IF(A10="","",COUNTIFS('Przypadki testowe'!$C$2:$C$300,"*"&amp;A10&amp;"*",'Przypadki testowe'!$K$2:$K$300,"Zaliczony"))</f>
        <v>2</v>
      </c>
      <c r="G10">
        <f>IF(A10="","",COUNTIFS('Przypadki testowe'!$C$2:$C$300,"*"&amp;A10&amp;"*",'Przypadki testowe'!$K$2:$K$300,"Niezaliczony"))</f>
        <v>0</v>
      </c>
      <c r="H10" t="str">
        <f t="shared" si="0"/>
        <v>Pokryte</v>
      </c>
    </row>
    <row r="11" spans="1:9" ht="15" customHeight="1" x14ac:dyDescent="0.25">
      <c r="A11" t="s">
        <v>119</v>
      </c>
      <c r="B11" t="s">
        <v>324</v>
      </c>
      <c r="C11" t="s">
        <v>100</v>
      </c>
      <c r="D11" s="4" t="s">
        <v>325</v>
      </c>
      <c r="E11">
        <f>IF(A11="","",COUNTIF('Przypadki testowe'!$C$2:$C$300,"*"&amp;A11&amp;"*"))</f>
        <v>8</v>
      </c>
      <c r="F11">
        <f>IF(A11="","",COUNTIFS('Przypadki testowe'!$C$2:$C$300,"*"&amp;A11&amp;"*",'Przypadki testowe'!$K$2:$K$300,"Zaliczony"))</f>
        <v>6</v>
      </c>
      <c r="G11">
        <f>IF(A11="","",COUNTIFS('Przypadki testowe'!$C$2:$C$300,"*"&amp;A11&amp;"*",'Przypadki testowe'!$K$2:$K$300,"Niezaliczony"))</f>
        <v>2</v>
      </c>
      <c r="H11" t="str">
        <f t="shared" si="0"/>
        <v>Pokryte</v>
      </c>
    </row>
    <row r="12" spans="1:9" ht="15" customHeight="1" x14ac:dyDescent="0.25">
      <c r="A12" t="s">
        <v>123</v>
      </c>
      <c r="B12" t="s">
        <v>326</v>
      </c>
      <c r="C12" t="s">
        <v>100</v>
      </c>
      <c r="D12" s="4" t="s">
        <v>327</v>
      </c>
      <c r="E12">
        <f>IF(A12="","",COUNTIF('Przypadki testowe'!$C$2:$C$300,"*"&amp;A12&amp;"*"))</f>
        <v>8</v>
      </c>
      <c r="F12">
        <f>IF(A12="","",COUNTIFS('Przypadki testowe'!$C$2:$C$300,"*"&amp;A12&amp;"*",'Przypadki testowe'!$K$2:$K$300,"Zaliczony"))</f>
        <v>5</v>
      </c>
      <c r="G12">
        <f>IF(A12="","",COUNTIFS('Przypadki testowe'!$C$2:$C$300,"*"&amp;A12&amp;"*",'Przypadki testowe'!$K$2:$K$300,"Niezaliczony"))</f>
        <v>3</v>
      </c>
      <c r="H12" t="str">
        <f t="shared" si="0"/>
        <v>Pokryte</v>
      </c>
    </row>
    <row r="13" spans="1:9" ht="15" customHeight="1" x14ac:dyDescent="0.25">
      <c r="A13" t="s">
        <v>64</v>
      </c>
      <c r="B13" t="s">
        <v>328</v>
      </c>
      <c r="C13" t="s">
        <v>89</v>
      </c>
      <c r="D13" s="4" t="s">
        <v>329</v>
      </c>
      <c r="E13">
        <f>IF(A13="","",COUNTIF('Przypadki testowe'!$C$2:$C$300,"*"&amp;A13&amp;"*"))</f>
        <v>4</v>
      </c>
      <c r="F13">
        <f>IF(A13="","",COUNTIFS('Przypadki testowe'!$C$2:$C$300,"*"&amp;A13&amp;"*",'Przypadki testowe'!$K$2:$K$300,"Zaliczony"))</f>
        <v>3</v>
      </c>
      <c r="G13">
        <f>IF(A13="","",COUNTIFS('Przypadki testowe'!$C$2:$C$300,"*"&amp;A13&amp;"*",'Przypadki testowe'!$K$2:$K$300,"Niezaliczony"))</f>
        <v>1</v>
      </c>
      <c r="H13" t="str">
        <f t="shared" si="0"/>
        <v>Pokryte</v>
      </c>
    </row>
    <row r="14" spans="1:9" ht="15" customHeight="1" x14ac:dyDescent="0.25">
      <c r="A14" t="s">
        <v>67</v>
      </c>
      <c r="B14" t="s">
        <v>330</v>
      </c>
      <c r="C14" t="s">
        <v>100</v>
      </c>
      <c r="D14" s="4" t="s">
        <v>331</v>
      </c>
      <c r="E14">
        <f>IF(A14="","",COUNTIF('Przypadki testowe'!$C$2:$C$300,"*"&amp;A14&amp;"*"))</f>
        <v>11</v>
      </c>
      <c r="F14">
        <f>IF(A14="","",COUNTIFS('Przypadki testowe'!$C$2:$C$300,"*"&amp;A14&amp;"*",'Przypadki testowe'!$K$2:$K$300,"Zaliczony"))</f>
        <v>10</v>
      </c>
      <c r="G14">
        <f>IF(A14="","",COUNTIFS('Przypadki testowe'!$C$2:$C$300,"*"&amp;A14&amp;"*",'Przypadki testowe'!$K$2:$K$300,"Niezaliczony"))</f>
        <v>1</v>
      </c>
      <c r="H14" t="str">
        <f t="shared" si="0"/>
        <v>Pokryte</v>
      </c>
      <c r="I14" t="s">
        <v>332</v>
      </c>
    </row>
    <row r="15" spans="1:9" ht="15" customHeight="1" x14ac:dyDescent="0.25">
      <c r="A15" t="s">
        <v>70</v>
      </c>
      <c r="B15" t="s">
        <v>333</v>
      </c>
      <c r="C15" t="s">
        <v>100</v>
      </c>
      <c r="D15" s="4" t="s">
        <v>334</v>
      </c>
      <c r="E15">
        <f>IF(A15="","",COUNTIF('Przypadki testowe'!$C$2:$C$300,"*"&amp;A15&amp;"*"))</f>
        <v>5</v>
      </c>
      <c r="F15">
        <f>IF(A15="","",COUNTIFS('Przypadki testowe'!$C$2:$C$300,"*"&amp;A15&amp;"*",'Przypadki testowe'!$K$2:$K$300,"Zaliczony"))</f>
        <v>3</v>
      </c>
      <c r="G15">
        <f>IF(A15="","",COUNTIFS('Przypadki testowe'!$C$2:$C$300,"*"&amp;A15&amp;"*",'Przypadki testowe'!$K$2:$K$300,"Niezaliczony"))</f>
        <v>2</v>
      </c>
      <c r="H15" t="str">
        <f t="shared" si="0"/>
        <v>Pokryte</v>
      </c>
      <c r="I15" t="s">
        <v>335</v>
      </c>
    </row>
    <row r="16" spans="1:9" ht="15" customHeight="1" x14ac:dyDescent="0.25">
      <c r="A16" t="s">
        <v>143</v>
      </c>
      <c r="B16" t="s">
        <v>142</v>
      </c>
      <c r="C16" t="s">
        <v>86</v>
      </c>
      <c r="D16" s="4" t="s">
        <v>336</v>
      </c>
      <c r="E16">
        <f>IF(A16="","",COUNTIF('Przypadki testowe'!$C$2:$C$300,"*"&amp;A16&amp;"*"))</f>
        <v>2</v>
      </c>
      <c r="F16">
        <f>IF(A16="","",COUNTIFS('Przypadki testowe'!$C$2:$C$300,"*"&amp;A16&amp;"*",'Przypadki testowe'!$K$2:$K$300,"Zaliczony"))</f>
        <v>0</v>
      </c>
      <c r="G16">
        <f>IF(A16="","",COUNTIFS('Przypadki testowe'!$C$2:$C$300,"*"&amp;A16&amp;"*",'Przypadki testowe'!$K$2:$K$300,"Niezaliczony"))</f>
        <v>2</v>
      </c>
      <c r="H16" t="str">
        <f t="shared" si="0"/>
        <v>Pokryte</v>
      </c>
    </row>
    <row r="17" spans="5:8" ht="15" customHeight="1" x14ac:dyDescent="0.25">
      <c r="E17" t="str">
        <f>IF(A17="","",COUNTIF('Przypadki testowe'!$C$2:$C$300,"*"&amp;A17&amp;"*"))</f>
        <v/>
      </c>
      <c r="F17" t="str">
        <f>IF(A17="","",COUNTIFS('Przypadki testowe'!$C$2:$C$300,"*"&amp;A17&amp;"*",'Przypadki testowe'!$K$2:$K$300,"Zaliczony"))</f>
        <v/>
      </c>
      <c r="G17" t="str">
        <f>IF(A17="","",COUNTIFS('Przypadki testowe'!$C$2:$C$300,"*"&amp;A17&amp;"*",'Przypadki testowe'!$K$2:$K$300,"Niezaliczony"))</f>
        <v/>
      </c>
      <c r="H17" t="str">
        <f t="shared" si="0"/>
        <v/>
      </c>
    </row>
    <row r="18" spans="5:8" ht="15" customHeight="1" x14ac:dyDescent="0.25">
      <c r="E18" t="str">
        <f>IF(A18="","",COUNTIF('Przypadki testowe'!$C$2:$C$300,"*"&amp;A18&amp;"*"))</f>
        <v/>
      </c>
      <c r="F18" t="str">
        <f>IF(A18="","",COUNTIFS('Przypadki testowe'!$C$2:$C$300,"*"&amp;A18&amp;"*",'Przypadki testowe'!$K$2:$K$300,"Zaliczony"))</f>
        <v/>
      </c>
      <c r="G18" t="str">
        <f>IF(A18="","",COUNTIFS('Przypadki testowe'!$C$2:$C$300,"*"&amp;A18&amp;"*",'Przypadki testowe'!$K$2:$K$300,"Niezaliczony"))</f>
        <v/>
      </c>
      <c r="H18" t="str">
        <f t="shared" si="0"/>
        <v/>
      </c>
    </row>
    <row r="19" spans="5:8" ht="15" customHeight="1" x14ac:dyDescent="0.25">
      <c r="E19" t="str">
        <f>IF(A19="","",COUNTIF('Przypadki testowe'!$C$2:$C$300,"*"&amp;A19&amp;"*"))</f>
        <v/>
      </c>
      <c r="F19" t="str">
        <f>IF(A19="","",COUNTIFS('Przypadki testowe'!$C$2:$C$300,"*"&amp;A19&amp;"*",'Przypadki testowe'!$K$2:$K$300,"Zaliczony"))</f>
        <v/>
      </c>
      <c r="G19" t="str">
        <f>IF(A19="","",COUNTIFS('Przypadki testowe'!$C$2:$C$300,"*"&amp;A19&amp;"*",'Przypadki testowe'!$K$2:$K$300,"Niezaliczony"))</f>
        <v/>
      </c>
      <c r="H19" t="str">
        <f t="shared" si="0"/>
        <v/>
      </c>
    </row>
    <row r="20" spans="5:8" ht="15" customHeight="1" x14ac:dyDescent="0.25">
      <c r="E20" t="str">
        <f>IF(A20="","",COUNTIF('Przypadki testowe'!$C$2:$C$300,"*"&amp;A20&amp;"*"))</f>
        <v/>
      </c>
      <c r="F20" t="str">
        <f>IF(A20="","",COUNTIFS('Przypadki testowe'!$C$2:$C$300,"*"&amp;A20&amp;"*",'Przypadki testowe'!$K$2:$K$300,"Zaliczony"))</f>
        <v/>
      </c>
      <c r="G20" t="str">
        <f>IF(A20="","",COUNTIFS('Przypadki testowe'!$C$2:$C$300,"*"&amp;A20&amp;"*",'Przypadki testowe'!$K$2:$K$300,"Niezaliczony"))</f>
        <v/>
      </c>
      <c r="H20" t="str">
        <f t="shared" si="0"/>
        <v/>
      </c>
    </row>
    <row r="21" spans="5:8" ht="15" customHeight="1" x14ac:dyDescent="0.25">
      <c r="E21" t="str">
        <f>IF(A21="","",COUNTIF('Przypadki testowe'!$C$2:$C$300,"*"&amp;A21&amp;"*"))</f>
        <v/>
      </c>
      <c r="F21" t="str">
        <f>IF(A21="","",COUNTIFS('Przypadki testowe'!$C$2:$C$300,"*"&amp;A21&amp;"*",'Przypadki testowe'!$K$2:$K$300,"Zaliczony"))</f>
        <v/>
      </c>
      <c r="G21" t="str">
        <f>IF(A21="","",COUNTIFS('Przypadki testowe'!$C$2:$C$300,"*"&amp;A21&amp;"*",'Przypadki testowe'!$K$2:$K$300,"Niezaliczony"))</f>
        <v/>
      </c>
      <c r="H21" t="str">
        <f t="shared" si="0"/>
        <v/>
      </c>
    </row>
    <row r="22" spans="5:8" ht="15" customHeight="1" x14ac:dyDescent="0.25">
      <c r="E22" t="str">
        <f>IF(A22="","",COUNTIF('Przypadki testowe'!$C$2:$C$300,"*"&amp;A22&amp;"*"))</f>
        <v/>
      </c>
      <c r="F22" t="str">
        <f>IF(A22="","",COUNTIFS('Przypadki testowe'!$C$2:$C$300,"*"&amp;A22&amp;"*",'Przypadki testowe'!$K$2:$K$300,"Zaliczony"))</f>
        <v/>
      </c>
      <c r="G22" t="str">
        <f>IF(A22="","",COUNTIFS('Przypadki testowe'!$C$2:$C$300,"*"&amp;A22&amp;"*",'Przypadki testowe'!$K$2:$K$300,"Niezaliczony"))</f>
        <v/>
      </c>
      <c r="H22" t="str">
        <f t="shared" si="0"/>
        <v/>
      </c>
    </row>
    <row r="23" spans="5:8" ht="15" customHeight="1" x14ac:dyDescent="0.25">
      <c r="E23" t="str">
        <f>IF(A23="","",COUNTIF('Przypadki testowe'!$C$2:$C$300,"*"&amp;A23&amp;"*"))</f>
        <v/>
      </c>
      <c r="F23" t="str">
        <f>IF(A23="","",COUNTIFS('Przypadki testowe'!$C$2:$C$300,"*"&amp;A23&amp;"*",'Przypadki testowe'!$K$2:$K$300,"Zaliczony"))</f>
        <v/>
      </c>
      <c r="G23" t="str">
        <f>IF(A23="","",COUNTIFS('Przypadki testowe'!$C$2:$C$300,"*"&amp;A23&amp;"*",'Przypadki testowe'!$K$2:$K$300,"Niezaliczony"))</f>
        <v/>
      </c>
      <c r="H23" t="str">
        <f t="shared" si="0"/>
        <v/>
      </c>
    </row>
    <row r="24" spans="5:8" ht="15" customHeight="1" x14ac:dyDescent="0.25">
      <c r="E24" t="str">
        <f>IF(A24="","",COUNTIF('Przypadki testowe'!$C$2:$C$300,"*"&amp;A24&amp;"*"))</f>
        <v/>
      </c>
      <c r="F24" t="str">
        <f>IF(A24="","",COUNTIFS('Przypadki testowe'!$C$2:$C$300,"*"&amp;A24&amp;"*",'Przypadki testowe'!$K$2:$K$300,"Zaliczony"))</f>
        <v/>
      </c>
      <c r="G24" t="str">
        <f>IF(A24="","",COUNTIFS('Przypadki testowe'!$C$2:$C$300,"*"&amp;A24&amp;"*",'Przypadki testowe'!$K$2:$K$300,"Niezaliczony"))</f>
        <v/>
      </c>
      <c r="H24" t="str">
        <f t="shared" si="0"/>
        <v/>
      </c>
    </row>
    <row r="25" spans="5:8" ht="15" customHeight="1" x14ac:dyDescent="0.25">
      <c r="E25" t="str">
        <f>IF(A25="","",COUNTIF('Przypadki testowe'!$C$2:$C$300,"*"&amp;A25&amp;"*"))</f>
        <v/>
      </c>
      <c r="F25" t="str">
        <f>IF(A25="","",COUNTIFS('Przypadki testowe'!$C$2:$C$300,"*"&amp;A25&amp;"*",'Przypadki testowe'!$K$2:$K$300,"Zaliczony"))</f>
        <v/>
      </c>
      <c r="G25" t="str">
        <f>IF(A25="","",COUNTIFS('Przypadki testowe'!$C$2:$C$300,"*"&amp;A25&amp;"*",'Przypadki testowe'!$K$2:$K$300,"Niezaliczony"))</f>
        <v/>
      </c>
      <c r="H25" t="str">
        <f t="shared" si="0"/>
        <v/>
      </c>
    </row>
    <row r="26" spans="5:8" ht="15" customHeight="1" x14ac:dyDescent="0.25">
      <c r="E26" t="str">
        <f>IF(A26="","",COUNTIF('Przypadki testowe'!$C$2:$C$300,"*"&amp;A26&amp;"*"))</f>
        <v/>
      </c>
      <c r="F26" t="str">
        <f>IF(A26="","",COUNTIFS('Przypadki testowe'!$C$2:$C$300,"*"&amp;A26&amp;"*",'Przypadki testowe'!$K$2:$K$300,"Zaliczony"))</f>
        <v/>
      </c>
      <c r="G26" t="str">
        <f>IF(A26="","",COUNTIFS('Przypadki testowe'!$C$2:$C$300,"*"&amp;A26&amp;"*",'Przypadki testowe'!$K$2:$K$300,"Niezaliczony"))</f>
        <v/>
      </c>
      <c r="H26" t="str">
        <f t="shared" si="0"/>
        <v/>
      </c>
    </row>
    <row r="27" spans="5:8" ht="15" customHeight="1" x14ac:dyDescent="0.25">
      <c r="E27" t="str">
        <f>IF(A27="","",COUNTIF('Przypadki testowe'!$C$2:$C$300,"*"&amp;A27&amp;"*"))</f>
        <v/>
      </c>
      <c r="F27" t="str">
        <f>IF(A27="","",COUNTIFS('Przypadki testowe'!$C$2:$C$300,"*"&amp;A27&amp;"*",'Przypadki testowe'!$K$2:$K$300,"Zaliczony"))</f>
        <v/>
      </c>
      <c r="G27" t="str">
        <f>IF(A27="","",COUNTIFS('Przypadki testowe'!$C$2:$C$300,"*"&amp;A27&amp;"*",'Przypadki testowe'!$K$2:$K$300,"Niezaliczony"))</f>
        <v/>
      </c>
      <c r="H27" t="str">
        <f t="shared" si="0"/>
        <v/>
      </c>
    </row>
    <row r="28" spans="5:8" ht="15" customHeight="1" x14ac:dyDescent="0.25">
      <c r="E28" t="str">
        <f>IF(A28="","",COUNTIF('Przypadki testowe'!$C$2:$C$300,"*"&amp;A28&amp;"*"))</f>
        <v/>
      </c>
      <c r="F28" t="str">
        <f>IF(A28="","",COUNTIFS('Przypadki testowe'!$C$2:$C$300,"*"&amp;A28&amp;"*",'Przypadki testowe'!$K$2:$K$300,"Zaliczony"))</f>
        <v/>
      </c>
      <c r="G28" t="str">
        <f>IF(A28="","",COUNTIFS('Przypadki testowe'!$C$2:$C$300,"*"&amp;A28&amp;"*",'Przypadki testowe'!$K$2:$K$300,"Niezaliczony"))</f>
        <v/>
      </c>
      <c r="H28" t="str">
        <f t="shared" si="0"/>
        <v/>
      </c>
    </row>
    <row r="29" spans="5:8" ht="15" customHeight="1" x14ac:dyDescent="0.25">
      <c r="E29" t="str">
        <f>IF(A29="","",COUNTIF('Przypadki testowe'!$C$2:$C$300,"*"&amp;A29&amp;"*"))</f>
        <v/>
      </c>
      <c r="F29" t="str">
        <f>IF(A29="","",COUNTIFS('Przypadki testowe'!$C$2:$C$300,"*"&amp;A29&amp;"*",'Przypadki testowe'!$K$2:$K$300,"Zaliczony"))</f>
        <v/>
      </c>
      <c r="G29" t="str">
        <f>IF(A29="","",COUNTIFS('Przypadki testowe'!$C$2:$C$300,"*"&amp;A29&amp;"*",'Przypadki testowe'!$K$2:$K$300,"Niezaliczony"))</f>
        <v/>
      </c>
      <c r="H29" t="str">
        <f t="shared" si="0"/>
        <v/>
      </c>
    </row>
    <row r="30" spans="5:8" ht="15" customHeight="1" x14ac:dyDescent="0.25">
      <c r="E30" t="str">
        <f>IF(A30="","",COUNTIF('Przypadki testowe'!$C$2:$C$300,"*"&amp;A30&amp;"*"))</f>
        <v/>
      </c>
      <c r="F30" t="str">
        <f>IF(A30="","",COUNTIFS('Przypadki testowe'!$C$2:$C$300,"*"&amp;A30&amp;"*",'Przypadki testowe'!$K$2:$K$300,"Zaliczony"))</f>
        <v/>
      </c>
      <c r="G30" t="str">
        <f>IF(A30="","",COUNTIFS('Przypadki testowe'!$C$2:$C$300,"*"&amp;A30&amp;"*",'Przypadki testowe'!$K$2:$K$300,"Niezaliczony"))</f>
        <v/>
      </c>
      <c r="H30" t="str">
        <f t="shared" si="0"/>
        <v/>
      </c>
    </row>
    <row r="31" spans="5:8" ht="15" customHeight="1" x14ac:dyDescent="0.25">
      <c r="E31" t="str">
        <f>IF(A31="","",COUNTIF('Przypadki testowe'!$C$2:$C$300,"*"&amp;A31&amp;"*"))</f>
        <v/>
      </c>
      <c r="F31" t="str">
        <f>IF(A31="","",COUNTIFS('Przypadki testowe'!$C$2:$C$300,"*"&amp;A31&amp;"*",'Przypadki testowe'!$K$2:$K$300,"Zaliczony"))</f>
        <v/>
      </c>
      <c r="G31" t="str">
        <f>IF(A31="","",COUNTIFS('Przypadki testowe'!$C$2:$C$300,"*"&amp;A31&amp;"*",'Przypadki testowe'!$K$2:$K$300,"Niezaliczony"))</f>
        <v/>
      </c>
      <c r="H31" t="str">
        <f t="shared" si="0"/>
        <v/>
      </c>
    </row>
    <row r="32" spans="5:8" ht="15" customHeight="1" x14ac:dyDescent="0.25">
      <c r="E32" t="str">
        <f>IF(A32="","",COUNTIF('Przypadki testowe'!$C$2:$C$300,"*"&amp;A32&amp;"*"))</f>
        <v/>
      </c>
      <c r="F32" t="str">
        <f>IF(A32="","",COUNTIFS('Przypadki testowe'!$C$2:$C$300,"*"&amp;A32&amp;"*",'Przypadki testowe'!$K$2:$K$300,"Zaliczony"))</f>
        <v/>
      </c>
      <c r="G32" t="str">
        <f>IF(A32="","",COUNTIFS('Przypadki testowe'!$C$2:$C$300,"*"&amp;A32&amp;"*",'Przypadki testowe'!$K$2:$K$300,"Niezaliczony"))</f>
        <v/>
      </c>
      <c r="H32" t="str">
        <f t="shared" si="0"/>
        <v/>
      </c>
    </row>
    <row r="33" spans="5:8" ht="15" customHeight="1" x14ac:dyDescent="0.25">
      <c r="E33" t="str">
        <f>IF(A33="","",COUNTIF('Przypadki testowe'!$C$2:$C$300,"*"&amp;A33&amp;"*"))</f>
        <v/>
      </c>
      <c r="F33" t="str">
        <f>IF(A33="","",COUNTIFS('Przypadki testowe'!$C$2:$C$300,"*"&amp;A33&amp;"*",'Przypadki testowe'!$K$2:$K$300,"Zaliczony"))</f>
        <v/>
      </c>
      <c r="G33" t="str">
        <f>IF(A33="","",COUNTIFS('Przypadki testowe'!$C$2:$C$300,"*"&amp;A33&amp;"*",'Przypadki testowe'!$K$2:$K$300,"Niezaliczony"))</f>
        <v/>
      </c>
      <c r="H33" t="str">
        <f t="shared" si="0"/>
        <v/>
      </c>
    </row>
    <row r="34" spans="5:8" ht="15" customHeight="1" x14ac:dyDescent="0.25">
      <c r="E34" t="str">
        <f>IF(A34="","",COUNTIF('Przypadki testowe'!$C$2:$C$300,"*"&amp;A34&amp;"*"))</f>
        <v/>
      </c>
      <c r="F34" t="str">
        <f>IF(A34="","",COUNTIFS('Przypadki testowe'!$C$2:$C$300,"*"&amp;A34&amp;"*",'Przypadki testowe'!$K$2:$K$300,"Zaliczony"))</f>
        <v/>
      </c>
      <c r="G34" t="str">
        <f>IF(A34="","",COUNTIFS('Przypadki testowe'!$C$2:$C$300,"*"&amp;A34&amp;"*",'Przypadki testowe'!$K$2:$K$300,"Niezaliczony"))</f>
        <v/>
      </c>
      <c r="H34" t="str">
        <f t="shared" ref="H34:H65" si="1">IF(A34="","",IF(E34&gt;0,"Pokryte","BRAK"))</f>
        <v/>
      </c>
    </row>
    <row r="35" spans="5:8" ht="15" customHeight="1" x14ac:dyDescent="0.25">
      <c r="E35" t="str">
        <f>IF(A35="","",COUNTIF('Przypadki testowe'!$C$2:$C$300,"*"&amp;A35&amp;"*"))</f>
        <v/>
      </c>
      <c r="F35" t="str">
        <f>IF(A35="","",COUNTIFS('Przypadki testowe'!$C$2:$C$300,"*"&amp;A35&amp;"*",'Przypadki testowe'!$K$2:$K$300,"Zaliczony"))</f>
        <v/>
      </c>
      <c r="G35" t="str">
        <f>IF(A35="","",COUNTIFS('Przypadki testowe'!$C$2:$C$300,"*"&amp;A35&amp;"*",'Przypadki testowe'!$K$2:$K$300,"Niezaliczony"))</f>
        <v/>
      </c>
      <c r="H35" t="str">
        <f t="shared" si="1"/>
        <v/>
      </c>
    </row>
    <row r="36" spans="5:8" ht="15" customHeight="1" x14ac:dyDescent="0.25">
      <c r="E36" t="str">
        <f>IF(A36="","",COUNTIF('Przypadki testowe'!$C$2:$C$300,"*"&amp;A36&amp;"*"))</f>
        <v/>
      </c>
      <c r="F36" t="str">
        <f>IF(A36="","",COUNTIFS('Przypadki testowe'!$C$2:$C$300,"*"&amp;A36&amp;"*",'Przypadki testowe'!$K$2:$K$300,"Zaliczony"))</f>
        <v/>
      </c>
      <c r="G36" t="str">
        <f>IF(A36="","",COUNTIFS('Przypadki testowe'!$C$2:$C$300,"*"&amp;A36&amp;"*",'Przypadki testowe'!$K$2:$K$300,"Niezaliczony"))</f>
        <v/>
      </c>
      <c r="H36" t="str">
        <f t="shared" si="1"/>
        <v/>
      </c>
    </row>
    <row r="37" spans="5:8" ht="15" customHeight="1" x14ac:dyDescent="0.25">
      <c r="E37" t="str">
        <f>IF(A37="","",COUNTIF('Przypadki testowe'!$C$2:$C$300,"*"&amp;A37&amp;"*"))</f>
        <v/>
      </c>
      <c r="F37" t="str">
        <f>IF(A37="","",COUNTIFS('Przypadki testowe'!$C$2:$C$300,"*"&amp;A37&amp;"*",'Przypadki testowe'!$K$2:$K$300,"Zaliczony"))</f>
        <v/>
      </c>
      <c r="G37" t="str">
        <f>IF(A37="","",COUNTIFS('Przypadki testowe'!$C$2:$C$300,"*"&amp;A37&amp;"*",'Przypadki testowe'!$K$2:$K$300,"Niezaliczony"))</f>
        <v/>
      </c>
      <c r="H37" t="str">
        <f t="shared" si="1"/>
        <v/>
      </c>
    </row>
    <row r="38" spans="5:8" ht="15" customHeight="1" x14ac:dyDescent="0.25">
      <c r="E38" t="str">
        <f>IF(A38="","",COUNTIF('Przypadki testowe'!$C$2:$C$300,"*"&amp;A38&amp;"*"))</f>
        <v/>
      </c>
      <c r="F38" t="str">
        <f>IF(A38="","",COUNTIFS('Przypadki testowe'!$C$2:$C$300,"*"&amp;A38&amp;"*",'Przypadki testowe'!$K$2:$K$300,"Zaliczony"))</f>
        <v/>
      </c>
      <c r="G38" t="str">
        <f>IF(A38="","",COUNTIFS('Przypadki testowe'!$C$2:$C$300,"*"&amp;A38&amp;"*",'Przypadki testowe'!$K$2:$K$300,"Niezaliczony"))</f>
        <v/>
      </c>
      <c r="H38" t="str">
        <f t="shared" si="1"/>
        <v/>
      </c>
    </row>
    <row r="39" spans="5:8" ht="15" customHeight="1" x14ac:dyDescent="0.25">
      <c r="E39" t="str">
        <f>IF(A39="","",COUNTIF('Przypadki testowe'!$C$2:$C$300,"*"&amp;A39&amp;"*"))</f>
        <v/>
      </c>
      <c r="F39" t="str">
        <f>IF(A39="","",COUNTIFS('Przypadki testowe'!$C$2:$C$300,"*"&amp;A39&amp;"*",'Przypadki testowe'!$K$2:$K$300,"Zaliczony"))</f>
        <v/>
      </c>
      <c r="G39" t="str">
        <f>IF(A39="","",COUNTIFS('Przypadki testowe'!$C$2:$C$300,"*"&amp;A39&amp;"*",'Przypadki testowe'!$K$2:$K$300,"Niezaliczony"))</f>
        <v/>
      </c>
      <c r="H39" t="str">
        <f t="shared" si="1"/>
        <v/>
      </c>
    </row>
    <row r="40" spans="5:8" ht="15" customHeight="1" x14ac:dyDescent="0.25">
      <c r="E40" t="str">
        <f>IF(A40="","",COUNTIF('Przypadki testowe'!$C$2:$C$300,"*"&amp;A40&amp;"*"))</f>
        <v/>
      </c>
      <c r="F40" t="str">
        <f>IF(A40="","",COUNTIFS('Przypadki testowe'!$C$2:$C$300,"*"&amp;A40&amp;"*",'Przypadki testowe'!$K$2:$K$300,"Zaliczony"))</f>
        <v/>
      </c>
      <c r="G40" t="str">
        <f>IF(A40="","",COUNTIFS('Przypadki testowe'!$C$2:$C$300,"*"&amp;A40&amp;"*",'Przypadki testowe'!$K$2:$K$300,"Niezaliczony"))</f>
        <v/>
      </c>
      <c r="H40" t="str">
        <f t="shared" si="1"/>
        <v/>
      </c>
    </row>
    <row r="41" spans="5:8" ht="15" customHeight="1" x14ac:dyDescent="0.25">
      <c r="E41" t="str">
        <f>IF(A41="","",COUNTIF('Przypadki testowe'!$C$2:$C$300,"*"&amp;A41&amp;"*"))</f>
        <v/>
      </c>
      <c r="F41" t="str">
        <f>IF(A41="","",COUNTIFS('Przypadki testowe'!$C$2:$C$300,"*"&amp;A41&amp;"*",'Przypadki testowe'!$K$2:$K$300,"Zaliczony"))</f>
        <v/>
      </c>
      <c r="G41" t="str">
        <f>IF(A41="","",COUNTIFS('Przypadki testowe'!$C$2:$C$300,"*"&amp;A41&amp;"*",'Przypadki testowe'!$K$2:$K$300,"Niezaliczony"))</f>
        <v/>
      </c>
      <c r="H41" t="str">
        <f t="shared" si="1"/>
        <v/>
      </c>
    </row>
    <row r="42" spans="5:8" ht="15" customHeight="1" x14ac:dyDescent="0.25">
      <c r="E42" t="str">
        <f>IF(A42="","",COUNTIF('Przypadki testowe'!$C$2:$C$300,"*"&amp;A42&amp;"*"))</f>
        <v/>
      </c>
      <c r="F42" t="str">
        <f>IF(A42="","",COUNTIFS('Przypadki testowe'!$C$2:$C$300,"*"&amp;A42&amp;"*",'Przypadki testowe'!$K$2:$K$300,"Zaliczony"))</f>
        <v/>
      </c>
      <c r="G42" t="str">
        <f>IF(A42="","",COUNTIFS('Przypadki testowe'!$C$2:$C$300,"*"&amp;A42&amp;"*",'Przypadki testowe'!$K$2:$K$300,"Niezaliczony"))</f>
        <v/>
      </c>
      <c r="H42" t="str">
        <f t="shared" si="1"/>
        <v/>
      </c>
    </row>
    <row r="43" spans="5:8" ht="15" customHeight="1" x14ac:dyDescent="0.25">
      <c r="E43" t="str">
        <f>IF(A43="","",COUNTIF('Przypadki testowe'!$C$2:$C$300,"*"&amp;A43&amp;"*"))</f>
        <v/>
      </c>
      <c r="F43" t="str">
        <f>IF(A43="","",COUNTIFS('Przypadki testowe'!$C$2:$C$300,"*"&amp;A43&amp;"*",'Przypadki testowe'!$K$2:$K$300,"Zaliczony"))</f>
        <v/>
      </c>
      <c r="G43" t="str">
        <f>IF(A43="","",COUNTIFS('Przypadki testowe'!$C$2:$C$300,"*"&amp;A43&amp;"*",'Przypadki testowe'!$K$2:$K$300,"Niezaliczony"))</f>
        <v/>
      </c>
      <c r="H43" t="str">
        <f t="shared" si="1"/>
        <v/>
      </c>
    </row>
    <row r="44" spans="5:8" ht="15" customHeight="1" x14ac:dyDescent="0.25">
      <c r="E44" t="str">
        <f>IF(A44="","",COUNTIF('Przypadki testowe'!$C$2:$C$300,"*"&amp;A44&amp;"*"))</f>
        <v/>
      </c>
      <c r="F44" t="str">
        <f>IF(A44="","",COUNTIFS('Przypadki testowe'!$C$2:$C$300,"*"&amp;A44&amp;"*",'Przypadki testowe'!$K$2:$K$300,"Zaliczony"))</f>
        <v/>
      </c>
      <c r="G44" t="str">
        <f>IF(A44="","",COUNTIFS('Przypadki testowe'!$C$2:$C$300,"*"&amp;A44&amp;"*",'Przypadki testowe'!$K$2:$K$300,"Niezaliczony"))</f>
        <v/>
      </c>
      <c r="H44" t="str">
        <f t="shared" si="1"/>
        <v/>
      </c>
    </row>
    <row r="45" spans="5:8" ht="15" customHeight="1" x14ac:dyDescent="0.25">
      <c r="E45" t="str">
        <f>IF(A45="","",COUNTIF('Przypadki testowe'!$C$2:$C$300,"*"&amp;A45&amp;"*"))</f>
        <v/>
      </c>
      <c r="F45" t="str">
        <f>IF(A45="","",COUNTIFS('Przypadki testowe'!$C$2:$C$300,"*"&amp;A45&amp;"*",'Przypadki testowe'!$K$2:$K$300,"Zaliczony"))</f>
        <v/>
      </c>
      <c r="G45" t="str">
        <f>IF(A45="","",COUNTIFS('Przypadki testowe'!$C$2:$C$300,"*"&amp;A45&amp;"*",'Przypadki testowe'!$K$2:$K$300,"Niezaliczony"))</f>
        <v/>
      </c>
      <c r="H45" t="str">
        <f t="shared" si="1"/>
        <v/>
      </c>
    </row>
    <row r="46" spans="5:8" ht="15" customHeight="1" x14ac:dyDescent="0.25">
      <c r="E46" t="str">
        <f>IF(A46="","",COUNTIF('Przypadki testowe'!$C$2:$C$300,"*"&amp;A46&amp;"*"))</f>
        <v/>
      </c>
      <c r="F46" t="str">
        <f>IF(A46="","",COUNTIFS('Przypadki testowe'!$C$2:$C$300,"*"&amp;A46&amp;"*",'Przypadki testowe'!$K$2:$K$300,"Zaliczony"))</f>
        <v/>
      </c>
      <c r="G46" t="str">
        <f>IF(A46="","",COUNTIFS('Przypadki testowe'!$C$2:$C$300,"*"&amp;A46&amp;"*",'Przypadki testowe'!$K$2:$K$300,"Niezaliczony"))</f>
        <v/>
      </c>
      <c r="H46" t="str">
        <f t="shared" si="1"/>
        <v/>
      </c>
    </row>
    <row r="47" spans="5:8" ht="15" customHeight="1" x14ac:dyDescent="0.25">
      <c r="E47" t="str">
        <f>IF(A47="","",COUNTIF('Przypadki testowe'!$C$2:$C$300,"*"&amp;A47&amp;"*"))</f>
        <v/>
      </c>
      <c r="F47" t="str">
        <f>IF(A47="","",COUNTIFS('Przypadki testowe'!$C$2:$C$300,"*"&amp;A47&amp;"*",'Przypadki testowe'!$K$2:$K$300,"Zaliczony"))</f>
        <v/>
      </c>
      <c r="G47" t="str">
        <f>IF(A47="","",COUNTIFS('Przypadki testowe'!$C$2:$C$300,"*"&amp;A47&amp;"*",'Przypadki testowe'!$K$2:$K$300,"Niezaliczony"))</f>
        <v/>
      </c>
      <c r="H47" t="str">
        <f t="shared" si="1"/>
        <v/>
      </c>
    </row>
    <row r="48" spans="5:8" ht="15" customHeight="1" x14ac:dyDescent="0.25">
      <c r="E48" t="str">
        <f>IF(A48="","",COUNTIF('Przypadki testowe'!$C$2:$C$300,"*"&amp;A48&amp;"*"))</f>
        <v/>
      </c>
      <c r="F48" t="str">
        <f>IF(A48="","",COUNTIFS('Przypadki testowe'!$C$2:$C$300,"*"&amp;A48&amp;"*",'Przypadki testowe'!$K$2:$K$300,"Zaliczony"))</f>
        <v/>
      </c>
      <c r="G48" t="str">
        <f>IF(A48="","",COUNTIFS('Przypadki testowe'!$C$2:$C$300,"*"&amp;A48&amp;"*",'Przypadki testowe'!$K$2:$K$300,"Niezaliczony"))</f>
        <v/>
      </c>
      <c r="H48" t="str">
        <f t="shared" si="1"/>
        <v/>
      </c>
    </row>
    <row r="49" spans="5:8" ht="15" customHeight="1" x14ac:dyDescent="0.25">
      <c r="E49" t="str">
        <f>IF(A49="","",COUNTIF('Przypadki testowe'!$C$2:$C$300,"*"&amp;A49&amp;"*"))</f>
        <v/>
      </c>
      <c r="F49" t="str">
        <f>IF(A49="","",COUNTIFS('Przypadki testowe'!$C$2:$C$300,"*"&amp;A49&amp;"*",'Przypadki testowe'!$K$2:$K$300,"Zaliczony"))</f>
        <v/>
      </c>
      <c r="G49" t="str">
        <f>IF(A49="","",COUNTIFS('Przypadki testowe'!$C$2:$C$300,"*"&amp;A49&amp;"*",'Przypadki testowe'!$K$2:$K$300,"Niezaliczony"))</f>
        <v/>
      </c>
      <c r="H49" t="str">
        <f t="shared" si="1"/>
        <v/>
      </c>
    </row>
    <row r="50" spans="5:8" ht="15" customHeight="1" x14ac:dyDescent="0.25">
      <c r="E50" t="str">
        <f>IF(A50="","",COUNTIF('Przypadki testowe'!$C$2:$C$300,"*"&amp;A50&amp;"*"))</f>
        <v/>
      </c>
      <c r="F50" t="str">
        <f>IF(A50="","",COUNTIFS('Przypadki testowe'!$C$2:$C$300,"*"&amp;A50&amp;"*",'Przypadki testowe'!$K$2:$K$300,"Zaliczony"))</f>
        <v/>
      </c>
      <c r="G50" t="str">
        <f>IF(A50="","",COUNTIFS('Przypadki testowe'!$C$2:$C$300,"*"&amp;A50&amp;"*",'Przypadki testowe'!$K$2:$K$300,"Niezaliczony"))</f>
        <v/>
      </c>
      <c r="H50" t="str">
        <f t="shared" si="1"/>
        <v/>
      </c>
    </row>
    <row r="51" spans="5:8" ht="15" customHeight="1" x14ac:dyDescent="0.25">
      <c r="E51" t="str">
        <f>IF(A51="","",COUNTIF('Przypadki testowe'!$C$2:$C$300,"*"&amp;A51&amp;"*"))</f>
        <v/>
      </c>
      <c r="F51" t="str">
        <f>IF(A51="","",COUNTIFS('Przypadki testowe'!$C$2:$C$300,"*"&amp;A51&amp;"*",'Przypadki testowe'!$K$2:$K$300,"Zaliczony"))</f>
        <v/>
      </c>
      <c r="G51" t="str">
        <f>IF(A51="","",COUNTIFS('Przypadki testowe'!$C$2:$C$300,"*"&amp;A51&amp;"*",'Przypadki testowe'!$K$2:$K$300,"Niezaliczony"))</f>
        <v/>
      </c>
      <c r="H51" t="str">
        <f t="shared" si="1"/>
        <v/>
      </c>
    </row>
    <row r="52" spans="5:8" ht="15" customHeight="1" x14ac:dyDescent="0.25">
      <c r="E52" t="str">
        <f>IF(A52="","",COUNTIF('Przypadki testowe'!$C$2:$C$300,"*"&amp;A52&amp;"*"))</f>
        <v/>
      </c>
      <c r="F52" t="str">
        <f>IF(A52="","",COUNTIFS('Przypadki testowe'!$C$2:$C$300,"*"&amp;A52&amp;"*",'Przypadki testowe'!$K$2:$K$300,"Zaliczony"))</f>
        <v/>
      </c>
      <c r="G52" t="str">
        <f>IF(A52="","",COUNTIFS('Przypadki testowe'!$C$2:$C$300,"*"&amp;A52&amp;"*",'Przypadki testowe'!$K$2:$K$300,"Niezaliczony"))</f>
        <v/>
      </c>
      <c r="H52" t="str">
        <f t="shared" si="1"/>
        <v/>
      </c>
    </row>
    <row r="53" spans="5:8" ht="15" customHeight="1" x14ac:dyDescent="0.25">
      <c r="E53" t="str">
        <f>IF(A53="","",COUNTIF('Przypadki testowe'!$C$2:$C$300,"*"&amp;A53&amp;"*"))</f>
        <v/>
      </c>
      <c r="F53" t="str">
        <f>IF(A53="","",COUNTIFS('Przypadki testowe'!$C$2:$C$300,"*"&amp;A53&amp;"*",'Przypadki testowe'!$K$2:$K$300,"Zaliczony"))</f>
        <v/>
      </c>
      <c r="G53" t="str">
        <f>IF(A53="","",COUNTIFS('Przypadki testowe'!$C$2:$C$300,"*"&amp;A53&amp;"*",'Przypadki testowe'!$K$2:$K$300,"Niezaliczony"))</f>
        <v/>
      </c>
      <c r="H53" t="str">
        <f t="shared" si="1"/>
        <v/>
      </c>
    </row>
    <row r="54" spans="5:8" ht="15" customHeight="1" x14ac:dyDescent="0.25">
      <c r="E54" t="str">
        <f>IF(A54="","",COUNTIF('Przypadki testowe'!$C$2:$C$300,"*"&amp;A54&amp;"*"))</f>
        <v/>
      </c>
      <c r="F54" t="str">
        <f>IF(A54="","",COUNTIFS('Przypadki testowe'!$C$2:$C$300,"*"&amp;A54&amp;"*",'Przypadki testowe'!$K$2:$K$300,"Zaliczony"))</f>
        <v/>
      </c>
      <c r="G54" t="str">
        <f>IF(A54="","",COUNTIFS('Przypadki testowe'!$C$2:$C$300,"*"&amp;A54&amp;"*",'Przypadki testowe'!$K$2:$K$300,"Niezaliczony"))</f>
        <v/>
      </c>
      <c r="H54" t="str">
        <f t="shared" si="1"/>
        <v/>
      </c>
    </row>
    <row r="55" spans="5:8" ht="15" customHeight="1" x14ac:dyDescent="0.25">
      <c r="E55" t="str">
        <f>IF(A55="","",COUNTIF('Przypadki testowe'!$C$2:$C$300,"*"&amp;A55&amp;"*"))</f>
        <v/>
      </c>
      <c r="F55" t="str">
        <f>IF(A55="","",COUNTIFS('Przypadki testowe'!$C$2:$C$300,"*"&amp;A55&amp;"*",'Przypadki testowe'!$K$2:$K$300,"Zaliczony"))</f>
        <v/>
      </c>
      <c r="G55" t="str">
        <f>IF(A55="","",COUNTIFS('Przypadki testowe'!$C$2:$C$300,"*"&amp;A55&amp;"*",'Przypadki testowe'!$K$2:$K$300,"Niezaliczony"))</f>
        <v/>
      </c>
      <c r="H55" t="str">
        <f t="shared" si="1"/>
        <v/>
      </c>
    </row>
    <row r="56" spans="5:8" ht="15" customHeight="1" x14ac:dyDescent="0.25">
      <c r="E56" t="str">
        <f>IF(A56="","",COUNTIF('Przypadki testowe'!$C$2:$C$300,"*"&amp;A56&amp;"*"))</f>
        <v/>
      </c>
      <c r="F56" t="str">
        <f>IF(A56="","",COUNTIFS('Przypadki testowe'!$C$2:$C$300,"*"&amp;A56&amp;"*",'Przypadki testowe'!$K$2:$K$300,"Zaliczony"))</f>
        <v/>
      </c>
      <c r="G56" t="str">
        <f>IF(A56="","",COUNTIFS('Przypadki testowe'!$C$2:$C$300,"*"&amp;A56&amp;"*",'Przypadki testowe'!$K$2:$K$300,"Niezaliczony"))</f>
        <v/>
      </c>
      <c r="H56" t="str">
        <f t="shared" si="1"/>
        <v/>
      </c>
    </row>
    <row r="57" spans="5:8" ht="15" customHeight="1" x14ac:dyDescent="0.25">
      <c r="E57" t="str">
        <f>IF(A57="","",COUNTIF('Przypadki testowe'!$C$2:$C$300,"*"&amp;A57&amp;"*"))</f>
        <v/>
      </c>
      <c r="F57" t="str">
        <f>IF(A57="","",COUNTIFS('Przypadki testowe'!$C$2:$C$300,"*"&amp;A57&amp;"*",'Przypadki testowe'!$K$2:$K$300,"Zaliczony"))</f>
        <v/>
      </c>
      <c r="G57" t="str">
        <f>IF(A57="","",COUNTIFS('Przypadki testowe'!$C$2:$C$300,"*"&amp;A57&amp;"*",'Przypadki testowe'!$K$2:$K$300,"Niezaliczony"))</f>
        <v/>
      </c>
      <c r="H57" t="str">
        <f t="shared" si="1"/>
        <v/>
      </c>
    </row>
    <row r="58" spans="5:8" ht="15" customHeight="1" x14ac:dyDescent="0.25">
      <c r="E58" t="str">
        <f>IF(A58="","",COUNTIF('Przypadki testowe'!$C$2:$C$300,"*"&amp;A58&amp;"*"))</f>
        <v/>
      </c>
      <c r="F58" t="str">
        <f>IF(A58="","",COUNTIFS('Przypadki testowe'!$C$2:$C$300,"*"&amp;A58&amp;"*",'Przypadki testowe'!$K$2:$K$300,"Zaliczony"))</f>
        <v/>
      </c>
      <c r="G58" t="str">
        <f>IF(A58="","",COUNTIFS('Przypadki testowe'!$C$2:$C$300,"*"&amp;A58&amp;"*",'Przypadki testowe'!$K$2:$K$300,"Niezaliczony"))</f>
        <v/>
      </c>
      <c r="H58" t="str">
        <f t="shared" si="1"/>
        <v/>
      </c>
    </row>
    <row r="59" spans="5:8" ht="15" customHeight="1" x14ac:dyDescent="0.25">
      <c r="E59" t="str">
        <f>IF(A59="","",COUNTIF('Przypadki testowe'!$C$2:$C$300,"*"&amp;A59&amp;"*"))</f>
        <v/>
      </c>
      <c r="F59" t="str">
        <f>IF(A59="","",COUNTIFS('Przypadki testowe'!$C$2:$C$300,"*"&amp;A59&amp;"*",'Przypadki testowe'!$K$2:$K$300,"Zaliczony"))</f>
        <v/>
      </c>
      <c r="G59" t="str">
        <f>IF(A59="","",COUNTIFS('Przypadki testowe'!$C$2:$C$300,"*"&amp;A59&amp;"*",'Przypadki testowe'!$K$2:$K$300,"Niezaliczony"))</f>
        <v/>
      </c>
      <c r="H59" t="str">
        <f t="shared" si="1"/>
        <v/>
      </c>
    </row>
    <row r="60" spans="5:8" ht="15" customHeight="1" x14ac:dyDescent="0.25">
      <c r="E60" t="str">
        <f>IF(A60="","",COUNTIF('Przypadki testowe'!$C$2:$C$300,"*"&amp;A60&amp;"*"))</f>
        <v/>
      </c>
      <c r="F60" t="str">
        <f>IF(A60="","",COUNTIFS('Przypadki testowe'!$C$2:$C$300,"*"&amp;A60&amp;"*",'Przypadki testowe'!$K$2:$K$300,"Zaliczony"))</f>
        <v/>
      </c>
      <c r="G60" t="str">
        <f>IF(A60="","",COUNTIFS('Przypadki testowe'!$C$2:$C$300,"*"&amp;A60&amp;"*",'Przypadki testowe'!$K$2:$K$300,"Niezaliczony"))</f>
        <v/>
      </c>
      <c r="H60" t="str">
        <f t="shared" si="1"/>
        <v/>
      </c>
    </row>
    <row r="61" spans="5:8" ht="15" customHeight="1" x14ac:dyDescent="0.25">
      <c r="E61" t="str">
        <f>IF(A61="","",COUNTIF('Przypadki testowe'!$C$2:$C$300,"*"&amp;A61&amp;"*"))</f>
        <v/>
      </c>
      <c r="F61" t="str">
        <f>IF(A61="","",COUNTIFS('Przypadki testowe'!$C$2:$C$300,"*"&amp;A61&amp;"*",'Przypadki testowe'!$K$2:$K$300,"Zaliczony"))</f>
        <v/>
      </c>
      <c r="G61" t="str">
        <f>IF(A61="","",COUNTIFS('Przypadki testowe'!$C$2:$C$300,"*"&amp;A61&amp;"*",'Przypadki testowe'!$K$2:$K$300,"Niezaliczony"))</f>
        <v/>
      </c>
      <c r="H61" t="str">
        <f t="shared" si="1"/>
        <v/>
      </c>
    </row>
    <row r="62" spans="5:8" ht="15" customHeight="1" x14ac:dyDescent="0.25">
      <c r="E62" t="str">
        <f>IF(A62="","",COUNTIF('Przypadki testowe'!$C$2:$C$300,"*"&amp;A62&amp;"*"))</f>
        <v/>
      </c>
      <c r="F62" t="str">
        <f>IF(A62="","",COUNTIFS('Przypadki testowe'!$C$2:$C$300,"*"&amp;A62&amp;"*",'Przypadki testowe'!$K$2:$K$300,"Zaliczony"))</f>
        <v/>
      </c>
      <c r="G62" t="str">
        <f>IF(A62="","",COUNTIFS('Przypadki testowe'!$C$2:$C$300,"*"&amp;A62&amp;"*",'Przypadki testowe'!$K$2:$K$300,"Niezaliczony"))</f>
        <v/>
      </c>
      <c r="H62" t="str">
        <f t="shared" si="1"/>
        <v/>
      </c>
    </row>
    <row r="63" spans="5:8" ht="15" customHeight="1" x14ac:dyDescent="0.25">
      <c r="E63" t="str">
        <f>IF(A63="","",COUNTIF('Przypadki testowe'!$C$2:$C$300,"*"&amp;A63&amp;"*"))</f>
        <v/>
      </c>
      <c r="F63" t="str">
        <f>IF(A63="","",COUNTIFS('Przypadki testowe'!$C$2:$C$300,"*"&amp;A63&amp;"*",'Przypadki testowe'!$K$2:$K$300,"Zaliczony"))</f>
        <v/>
      </c>
      <c r="G63" t="str">
        <f>IF(A63="","",COUNTIFS('Przypadki testowe'!$C$2:$C$300,"*"&amp;A63&amp;"*",'Przypadki testowe'!$K$2:$K$300,"Niezaliczony"))</f>
        <v/>
      </c>
      <c r="H63" t="str">
        <f t="shared" si="1"/>
        <v/>
      </c>
    </row>
    <row r="64" spans="5:8" ht="15" customHeight="1" x14ac:dyDescent="0.25">
      <c r="E64" t="str">
        <f>IF(A64="","",COUNTIF('Przypadki testowe'!$C$2:$C$300,"*"&amp;A64&amp;"*"))</f>
        <v/>
      </c>
      <c r="F64" t="str">
        <f>IF(A64="","",COUNTIFS('Przypadki testowe'!$C$2:$C$300,"*"&amp;A64&amp;"*",'Przypadki testowe'!$K$2:$K$300,"Zaliczony"))</f>
        <v/>
      </c>
      <c r="G64" t="str">
        <f>IF(A64="","",COUNTIFS('Przypadki testowe'!$C$2:$C$300,"*"&amp;A64&amp;"*",'Przypadki testowe'!$K$2:$K$300,"Niezaliczony"))</f>
        <v/>
      </c>
      <c r="H64" t="str">
        <f t="shared" si="1"/>
        <v/>
      </c>
    </row>
    <row r="65" spans="5:8" ht="15" customHeight="1" x14ac:dyDescent="0.25">
      <c r="E65" t="str">
        <f>IF(A65="","",COUNTIF('Przypadki testowe'!$C$2:$C$300,"*"&amp;A65&amp;"*"))</f>
        <v/>
      </c>
      <c r="F65" t="str">
        <f>IF(A65="","",COUNTIFS('Przypadki testowe'!$C$2:$C$300,"*"&amp;A65&amp;"*",'Przypadki testowe'!$K$2:$K$300,"Zaliczony"))</f>
        <v/>
      </c>
      <c r="G65" t="str">
        <f>IF(A65="","",COUNTIFS('Przypadki testowe'!$C$2:$C$300,"*"&amp;A65&amp;"*",'Przypadki testowe'!$K$2:$K$300,"Niezaliczony"))</f>
        <v/>
      </c>
      <c r="H65" t="str">
        <f t="shared" si="1"/>
        <v/>
      </c>
    </row>
    <row r="66" spans="5:8" ht="15" customHeight="1" x14ac:dyDescent="0.25">
      <c r="E66" t="str">
        <f>IF(A66="","",COUNTIF('Przypadki testowe'!$C$2:$C$300,"*"&amp;A66&amp;"*"))</f>
        <v/>
      </c>
      <c r="F66" t="str">
        <f>IF(A66="","",COUNTIFS('Przypadki testowe'!$C$2:$C$300,"*"&amp;A66&amp;"*",'Przypadki testowe'!$K$2:$K$300,"Zaliczony"))</f>
        <v/>
      </c>
      <c r="G66" t="str">
        <f>IF(A66="","",COUNTIFS('Przypadki testowe'!$C$2:$C$300,"*"&amp;A66&amp;"*",'Przypadki testowe'!$K$2:$K$300,"Niezaliczony"))</f>
        <v/>
      </c>
      <c r="H66" t="str">
        <f t="shared" ref="H66:H97" si="2">IF(A66="","",IF(E66&gt;0,"Pokryte","BRAK"))</f>
        <v/>
      </c>
    </row>
    <row r="67" spans="5:8" ht="15" customHeight="1" x14ac:dyDescent="0.25">
      <c r="E67" t="str">
        <f>IF(A67="","",COUNTIF('Przypadki testowe'!$C$2:$C$300,"*"&amp;A67&amp;"*"))</f>
        <v/>
      </c>
      <c r="F67" t="str">
        <f>IF(A67="","",COUNTIFS('Przypadki testowe'!$C$2:$C$300,"*"&amp;A67&amp;"*",'Przypadki testowe'!$K$2:$K$300,"Zaliczony"))</f>
        <v/>
      </c>
      <c r="G67" t="str">
        <f>IF(A67="","",COUNTIFS('Przypadki testowe'!$C$2:$C$300,"*"&amp;A67&amp;"*",'Przypadki testowe'!$K$2:$K$300,"Niezaliczony"))</f>
        <v/>
      </c>
      <c r="H67" t="str">
        <f t="shared" si="2"/>
        <v/>
      </c>
    </row>
    <row r="68" spans="5:8" ht="15" customHeight="1" x14ac:dyDescent="0.25">
      <c r="E68" t="str">
        <f>IF(A68="","",COUNTIF('Przypadki testowe'!$C$2:$C$300,"*"&amp;A68&amp;"*"))</f>
        <v/>
      </c>
      <c r="F68" t="str">
        <f>IF(A68="","",COUNTIFS('Przypadki testowe'!$C$2:$C$300,"*"&amp;A68&amp;"*",'Przypadki testowe'!$K$2:$K$300,"Zaliczony"))</f>
        <v/>
      </c>
      <c r="G68" t="str">
        <f>IF(A68="","",COUNTIFS('Przypadki testowe'!$C$2:$C$300,"*"&amp;A68&amp;"*",'Przypadki testowe'!$K$2:$K$300,"Niezaliczony"))</f>
        <v/>
      </c>
      <c r="H68" t="str">
        <f t="shared" si="2"/>
        <v/>
      </c>
    </row>
    <row r="69" spans="5:8" ht="15" customHeight="1" x14ac:dyDescent="0.25">
      <c r="E69" t="str">
        <f>IF(A69="","",COUNTIF('Przypadki testowe'!$C$2:$C$300,"*"&amp;A69&amp;"*"))</f>
        <v/>
      </c>
      <c r="F69" t="str">
        <f>IF(A69="","",COUNTIFS('Przypadki testowe'!$C$2:$C$300,"*"&amp;A69&amp;"*",'Przypadki testowe'!$K$2:$K$300,"Zaliczony"))</f>
        <v/>
      </c>
      <c r="G69" t="str">
        <f>IF(A69="","",COUNTIFS('Przypadki testowe'!$C$2:$C$300,"*"&amp;A69&amp;"*",'Przypadki testowe'!$K$2:$K$300,"Niezaliczony"))</f>
        <v/>
      </c>
      <c r="H69" t="str">
        <f t="shared" si="2"/>
        <v/>
      </c>
    </row>
    <row r="70" spans="5:8" ht="15" customHeight="1" x14ac:dyDescent="0.25">
      <c r="E70" t="str">
        <f>IF(A70="","",COUNTIF('Przypadki testowe'!$C$2:$C$300,"*"&amp;A70&amp;"*"))</f>
        <v/>
      </c>
      <c r="F70" t="str">
        <f>IF(A70="","",COUNTIFS('Przypadki testowe'!$C$2:$C$300,"*"&amp;A70&amp;"*",'Przypadki testowe'!$K$2:$K$300,"Zaliczony"))</f>
        <v/>
      </c>
      <c r="G70" t="str">
        <f>IF(A70="","",COUNTIFS('Przypadki testowe'!$C$2:$C$300,"*"&amp;A70&amp;"*",'Przypadki testowe'!$K$2:$K$300,"Niezaliczony"))</f>
        <v/>
      </c>
      <c r="H70" t="str">
        <f t="shared" si="2"/>
        <v/>
      </c>
    </row>
    <row r="71" spans="5:8" ht="15" customHeight="1" x14ac:dyDescent="0.25">
      <c r="E71" t="str">
        <f>IF(A71="","",COUNTIF('Przypadki testowe'!$C$2:$C$300,"*"&amp;A71&amp;"*"))</f>
        <v/>
      </c>
      <c r="F71" t="str">
        <f>IF(A71="","",COUNTIFS('Przypadki testowe'!$C$2:$C$300,"*"&amp;A71&amp;"*",'Przypadki testowe'!$K$2:$K$300,"Zaliczony"))</f>
        <v/>
      </c>
      <c r="G71" t="str">
        <f>IF(A71="","",COUNTIFS('Przypadki testowe'!$C$2:$C$300,"*"&amp;A71&amp;"*",'Przypadki testowe'!$K$2:$K$300,"Niezaliczony"))</f>
        <v/>
      </c>
      <c r="H71" t="str">
        <f t="shared" si="2"/>
        <v/>
      </c>
    </row>
    <row r="72" spans="5:8" ht="15" customHeight="1" x14ac:dyDescent="0.25">
      <c r="E72" t="str">
        <f>IF(A72="","",COUNTIF('Przypadki testowe'!$C$2:$C$300,"*"&amp;A72&amp;"*"))</f>
        <v/>
      </c>
      <c r="F72" t="str">
        <f>IF(A72="","",COUNTIFS('Przypadki testowe'!$C$2:$C$300,"*"&amp;A72&amp;"*",'Przypadki testowe'!$K$2:$K$300,"Zaliczony"))</f>
        <v/>
      </c>
      <c r="G72" t="str">
        <f>IF(A72="","",COUNTIFS('Przypadki testowe'!$C$2:$C$300,"*"&amp;A72&amp;"*",'Przypadki testowe'!$K$2:$K$300,"Niezaliczony"))</f>
        <v/>
      </c>
      <c r="H72" t="str">
        <f t="shared" si="2"/>
        <v/>
      </c>
    </row>
    <row r="73" spans="5:8" ht="15" customHeight="1" x14ac:dyDescent="0.25">
      <c r="E73" t="str">
        <f>IF(A73="","",COUNTIF('Przypadki testowe'!$C$2:$C$300,"*"&amp;A73&amp;"*"))</f>
        <v/>
      </c>
      <c r="F73" t="str">
        <f>IF(A73="","",COUNTIFS('Przypadki testowe'!$C$2:$C$300,"*"&amp;A73&amp;"*",'Przypadki testowe'!$K$2:$K$300,"Zaliczony"))</f>
        <v/>
      </c>
      <c r="G73" t="str">
        <f>IF(A73="","",COUNTIFS('Przypadki testowe'!$C$2:$C$300,"*"&amp;A73&amp;"*",'Przypadki testowe'!$K$2:$K$300,"Niezaliczony"))</f>
        <v/>
      </c>
      <c r="H73" t="str">
        <f t="shared" si="2"/>
        <v/>
      </c>
    </row>
    <row r="74" spans="5:8" ht="15" customHeight="1" x14ac:dyDescent="0.25">
      <c r="E74" t="str">
        <f>IF(A74="","",COUNTIF('Przypadki testowe'!$C$2:$C$300,"*"&amp;A74&amp;"*"))</f>
        <v/>
      </c>
      <c r="F74" t="str">
        <f>IF(A74="","",COUNTIFS('Przypadki testowe'!$C$2:$C$300,"*"&amp;A74&amp;"*",'Przypadki testowe'!$K$2:$K$300,"Zaliczony"))</f>
        <v/>
      </c>
      <c r="G74" t="str">
        <f>IF(A74="","",COUNTIFS('Przypadki testowe'!$C$2:$C$300,"*"&amp;A74&amp;"*",'Przypadki testowe'!$K$2:$K$300,"Niezaliczony"))</f>
        <v/>
      </c>
      <c r="H74" t="str">
        <f t="shared" si="2"/>
        <v/>
      </c>
    </row>
    <row r="75" spans="5:8" ht="15" customHeight="1" x14ac:dyDescent="0.25">
      <c r="E75" t="str">
        <f>IF(A75="","",COUNTIF('Przypadki testowe'!$C$2:$C$300,"*"&amp;A75&amp;"*"))</f>
        <v/>
      </c>
      <c r="F75" t="str">
        <f>IF(A75="","",COUNTIFS('Przypadki testowe'!$C$2:$C$300,"*"&amp;A75&amp;"*",'Przypadki testowe'!$K$2:$K$300,"Zaliczony"))</f>
        <v/>
      </c>
      <c r="G75" t="str">
        <f>IF(A75="","",COUNTIFS('Przypadki testowe'!$C$2:$C$300,"*"&amp;A75&amp;"*",'Przypadki testowe'!$K$2:$K$300,"Niezaliczony"))</f>
        <v/>
      </c>
      <c r="H75" t="str">
        <f t="shared" si="2"/>
        <v/>
      </c>
    </row>
    <row r="76" spans="5:8" ht="15" customHeight="1" x14ac:dyDescent="0.25">
      <c r="E76" t="str">
        <f>IF(A76="","",COUNTIF('Przypadki testowe'!$C$2:$C$300,"*"&amp;A76&amp;"*"))</f>
        <v/>
      </c>
      <c r="F76" t="str">
        <f>IF(A76="","",COUNTIFS('Przypadki testowe'!$C$2:$C$300,"*"&amp;A76&amp;"*",'Przypadki testowe'!$K$2:$K$300,"Zaliczony"))</f>
        <v/>
      </c>
      <c r="G76" t="str">
        <f>IF(A76="","",COUNTIFS('Przypadki testowe'!$C$2:$C$300,"*"&amp;A76&amp;"*",'Przypadki testowe'!$K$2:$K$300,"Niezaliczony"))</f>
        <v/>
      </c>
      <c r="H76" t="str">
        <f t="shared" si="2"/>
        <v/>
      </c>
    </row>
    <row r="77" spans="5:8" ht="15" customHeight="1" x14ac:dyDescent="0.25">
      <c r="E77" t="str">
        <f>IF(A77="","",COUNTIF('Przypadki testowe'!$C$2:$C$300,"*"&amp;A77&amp;"*"))</f>
        <v/>
      </c>
      <c r="F77" t="str">
        <f>IF(A77="","",COUNTIFS('Przypadki testowe'!$C$2:$C$300,"*"&amp;A77&amp;"*",'Przypadki testowe'!$K$2:$K$300,"Zaliczony"))</f>
        <v/>
      </c>
      <c r="G77" t="str">
        <f>IF(A77="","",COUNTIFS('Przypadki testowe'!$C$2:$C$300,"*"&amp;A77&amp;"*",'Przypadki testowe'!$K$2:$K$300,"Niezaliczony"))</f>
        <v/>
      </c>
      <c r="H77" t="str">
        <f t="shared" si="2"/>
        <v/>
      </c>
    </row>
    <row r="78" spans="5:8" ht="15" customHeight="1" x14ac:dyDescent="0.25">
      <c r="E78" t="str">
        <f>IF(A78="","",COUNTIF('Przypadki testowe'!$C$2:$C$300,"*"&amp;A78&amp;"*"))</f>
        <v/>
      </c>
      <c r="F78" t="str">
        <f>IF(A78="","",COUNTIFS('Przypadki testowe'!$C$2:$C$300,"*"&amp;A78&amp;"*",'Przypadki testowe'!$K$2:$K$300,"Zaliczony"))</f>
        <v/>
      </c>
      <c r="G78" t="str">
        <f>IF(A78="","",COUNTIFS('Przypadki testowe'!$C$2:$C$300,"*"&amp;A78&amp;"*",'Przypadki testowe'!$K$2:$K$300,"Niezaliczony"))</f>
        <v/>
      </c>
      <c r="H78" t="str">
        <f t="shared" si="2"/>
        <v/>
      </c>
    </row>
    <row r="79" spans="5:8" ht="15" customHeight="1" x14ac:dyDescent="0.25">
      <c r="E79" t="str">
        <f>IF(A79="","",COUNTIF('Przypadki testowe'!$C$2:$C$300,"*"&amp;A79&amp;"*"))</f>
        <v/>
      </c>
      <c r="F79" t="str">
        <f>IF(A79="","",COUNTIFS('Przypadki testowe'!$C$2:$C$300,"*"&amp;A79&amp;"*",'Przypadki testowe'!$K$2:$K$300,"Zaliczony"))</f>
        <v/>
      </c>
      <c r="G79" t="str">
        <f>IF(A79="","",COUNTIFS('Przypadki testowe'!$C$2:$C$300,"*"&amp;A79&amp;"*",'Przypadki testowe'!$K$2:$K$300,"Niezaliczony"))</f>
        <v/>
      </c>
      <c r="H79" t="str">
        <f t="shared" si="2"/>
        <v/>
      </c>
    </row>
    <row r="80" spans="5:8" ht="15" customHeight="1" x14ac:dyDescent="0.25">
      <c r="E80" t="str">
        <f>IF(A80="","",COUNTIF('Przypadki testowe'!$C$2:$C$300,"*"&amp;A80&amp;"*"))</f>
        <v/>
      </c>
      <c r="F80" t="str">
        <f>IF(A80="","",COUNTIFS('Przypadki testowe'!$C$2:$C$300,"*"&amp;A80&amp;"*",'Przypadki testowe'!$K$2:$K$300,"Zaliczony"))</f>
        <v/>
      </c>
      <c r="G80" t="str">
        <f>IF(A80="","",COUNTIFS('Przypadki testowe'!$C$2:$C$300,"*"&amp;A80&amp;"*",'Przypadki testowe'!$K$2:$K$300,"Niezaliczony"))</f>
        <v/>
      </c>
      <c r="H80" t="str">
        <f t="shared" si="2"/>
        <v/>
      </c>
    </row>
    <row r="81" spans="5:8" ht="15" customHeight="1" x14ac:dyDescent="0.25">
      <c r="E81" t="str">
        <f>IF(A81="","",COUNTIF('Przypadki testowe'!$C$2:$C$300,"*"&amp;A81&amp;"*"))</f>
        <v/>
      </c>
      <c r="F81" t="str">
        <f>IF(A81="","",COUNTIFS('Przypadki testowe'!$C$2:$C$300,"*"&amp;A81&amp;"*",'Przypadki testowe'!$K$2:$K$300,"Zaliczony"))</f>
        <v/>
      </c>
      <c r="G81" t="str">
        <f>IF(A81="","",COUNTIFS('Przypadki testowe'!$C$2:$C$300,"*"&amp;A81&amp;"*",'Przypadki testowe'!$K$2:$K$300,"Niezaliczony"))</f>
        <v/>
      </c>
      <c r="H81" t="str">
        <f t="shared" si="2"/>
        <v/>
      </c>
    </row>
    <row r="82" spans="5:8" ht="15" customHeight="1" x14ac:dyDescent="0.25">
      <c r="E82" t="str">
        <f>IF(A82="","",COUNTIF('Przypadki testowe'!$C$2:$C$300,"*"&amp;A82&amp;"*"))</f>
        <v/>
      </c>
      <c r="F82" t="str">
        <f>IF(A82="","",COUNTIFS('Przypadki testowe'!$C$2:$C$300,"*"&amp;A82&amp;"*",'Przypadki testowe'!$K$2:$K$300,"Zaliczony"))</f>
        <v/>
      </c>
      <c r="G82" t="str">
        <f>IF(A82="","",COUNTIFS('Przypadki testowe'!$C$2:$C$300,"*"&amp;A82&amp;"*",'Przypadki testowe'!$K$2:$K$300,"Niezaliczony"))</f>
        <v/>
      </c>
      <c r="H82" t="str">
        <f t="shared" si="2"/>
        <v/>
      </c>
    </row>
    <row r="83" spans="5:8" ht="15" customHeight="1" x14ac:dyDescent="0.25">
      <c r="E83" t="str">
        <f>IF(A83="","",COUNTIF('Przypadki testowe'!$C$2:$C$300,"*"&amp;A83&amp;"*"))</f>
        <v/>
      </c>
      <c r="F83" t="str">
        <f>IF(A83="","",COUNTIFS('Przypadki testowe'!$C$2:$C$300,"*"&amp;A83&amp;"*",'Przypadki testowe'!$K$2:$K$300,"Zaliczony"))</f>
        <v/>
      </c>
      <c r="G83" t="str">
        <f>IF(A83="","",COUNTIFS('Przypadki testowe'!$C$2:$C$300,"*"&amp;A83&amp;"*",'Przypadki testowe'!$K$2:$K$300,"Niezaliczony"))</f>
        <v/>
      </c>
      <c r="H83" t="str">
        <f t="shared" si="2"/>
        <v/>
      </c>
    </row>
    <row r="84" spans="5:8" ht="15" customHeight="1" x14ac:dyDescent="0.25">
      <c r="E84" t="str">
        <f>IF(A84="","",COUNTIF('Przypadki testowe'!$C$2:$C$300,"*"&amp;A84&amp;"*"))</f>
        <v/>
      </c>
      <c r="F84" t="str">
        <f>IF(A84="","",COUNTIFS('Przypadki testowe'!$C$2:$C$300,"*"&amp;A84&amp;"*",'Przypadki testowe'!$K$2:$K$300,"Zaliczony"))</f>
        <v/>
      </c>
      <c r="G84" t="str">
        <f>IF(A84="","",COUNTIFS('Przypadki testowe'!$C$2:$C$300,"*"&amp;A84&amp;"*",'Przypadki testowe'!$K$2:$K$300,"Niezaliczony"))</f>
        <v/>
      </c>
      <c r="H84" t="str">
        <f t="shared" si="2"/>
        <v/>
      </c>
    </row>
    <row r="85" spans="5:8" ht="15" customHeight="1" x14ac:dyDescent="0.25">
      <c r="E85" t="str">
        <f>IF(A85="","",COUNTIF('Przypadki testowe'!$C$2:$C$300,"*"&amp;A85&amp;"*"))</f>
        <v/>
      </c>
      <c r="F85" t="str">
        <f>IF(A85="","",COUNTIFS('Przypadki testowe'!$C$2:$C$300,"*"&amp;A85&amp;"*",'Przypadki testowe'!$K$2:$K$300,"Zaliczony"))</f>
        <v/>
      </c>
      <c r="G85" t="str">
        <f>IF(A85="","",COUNTIFS('Przypadki testowe'!$C$2:$C$300,"*"&amp;A85&amp;"*",'Przypadki testowe'!$K$2:$K$300,"Niezaliczony"))</f>
        <v/>
      </c>
      <c r="H85" t="str">
        <f t="shared" si="2"/>
        <v/>
      </c>
    </row>
    <row r="86" spans="5:8" ht="15" customHeight="1" x14ac:dyDescent="0.25">
      <c r="E86" t="str">
        <f>IF(A86="","",COUNTIF('Przypadki testowe'!$C$2:$C$300,"*"&amp;A86&amp;"*"))</f>
        <v/>
      </c>
      <c r="F86" t="str">
        <f>IF(A86="","",COUNTIFS('Przypadki testowe'!$C$2:$C$300,"*"&amp;A86&amp;"*",'Przypadki testowe'!$K$2:$K$300,"Zaliczony"))</f>
        <v/>
      </c>
      <c r="G86" t="str">
        <f>IF(A86="","",COUNTIFS('Przypadki testowe'!$C$2:$C$300,"*"&amp;A86&amp;"*",'Przypadki testowe'!$K$2:$K$300,"Niezaliczony"))</f>
        <v/>
      </c>
      <c r="H86" t="str">
        <f t="shared" si="2"/>
        <v/>
      </c>
    </row>
    <row r="87" spans="5:8" ht="15" customHeight="1" x14ac:dyDescent="0.25">
      <c r="E87" t="str">
        <f>IF(A87="","",COUNTIF('Przypadki testowe'!$C$2:$C$300,"*"&amp;A87&amp;"*"))</f>
        <v/>
      </c>
      <c r="F87" t="str">
        <f>IF(A87="","",COUNTIFS('Przypadki testowe'!$C$2:$C$300,"*"&amp;A87&amp;"*",'Przypadki testowe'!$K$2:$K$300,"Zaliczony"))</f>
        <v/>
      </c>
      <c r="G87" t="str">
        <f>IF(A87="","",COUNTIFS('Przypadki testowe'!$C$2:$C$300,"*"&amp;A87&amp;"*",'Przypadki testowe'!$K$2:$K$300,"Niezaliczony"))</f>
        <v/>
      </c>
      <c r="H87" t="str">
        <f t="shared" si="2"/>
        <v/>
      </c>
    </row>
    <row r="88" spans="5:8" ht="15" customHeight="1" x14ac:dyDescent="0.25">
      <c r="E88" t="str">
        <f>IF(A88="","",COUNTIF('Przypadki testowe'!$C$2:$C$300,"*"&amp;A88&amp;"*"))</f>
        <v/>
      </c>
      <c r="F88" t="str">
        <f>IF(A88="","",COUNTIFS('Przypadki testowe'!$C$2:$C$300,"*"&amp;A88&amp;"*",'Przypadki testowe'!$K$2:$K$300,"Zaliczony"))</f>
        <v/>
      </c>
      <c r="G88" t="str">
        <f>IF(A88="","",COUNTIFS('Przypadki testowe'!$C$2:$C$300,"*"&amp;A88&amp;"*",'Przypadki testowe'!$K$2:$K$300,"Niezaliczony"))</f>
        <v/>
      </c>
      <c r="H88" t="str">
        <f t="shared" si="2"/>
        <v/>
      </c>
    </row>
    <row r="89" spans="5:8" ht="15" customHeight="1" x14ac:dyDescent="0.25">
      <c r="E89" t="str">
        <f>IF(A89="","",COUNTIF('Przypadki testowe'!$C$2:$C$300,"*"&amp;A89&amp;"*"))</f>
        <v/>
      </c>
      <c r="F89" t="str">
        <f>IF(A89="","",COUNTIFS('Przypadki testowe'!$C$2:$C$300,"*"&amp;A89&amp;"*",'Przypadki testowe'!$K$2:$K$300,"Zaliczony"))</f>
        <v/>
      </c>
      <c r="G89" t="str">
        <f>IF(A89="","",COUNTIFS('Przypadki testowe'!$C$2:$C$300,"*"&amp;A89&amp;"*",'Przypadki testowe'!$K$2:$K$300,"Niezaliczony"))</f>
        <v/>
      </c>
      <c r="H89" t="str">
        <f t="shared" si="2"/>
        <v/>
      </c>
    </row>
    <row r="90" spans="5:8" ht="15" customHeight="1" x14ac:dyDescent="0.25">
      <c r="E90" t="str">
        <f>IF(A90="","",COUNTIF('Przypadki testowe'!$C$2:$C$300,"*"&amp;A90&amp;"*"))</f>
        <v/>
      </c>
      <c r="F90" t="str">
        <f>IF(A90="","",COUNTIFS('Przypadki testowe'!$C$2:$C$300,"*"&amp;A90&amp;"*",'Przypadki testowe'!$K$2:$K$300,"Zaliczony"))</f>
        <v/>
      </c>
      <c r="G90" t="str">
        <f>IF(A90="","",COUNTIFS('Przypadki testowe'!$C$2:$C$300,"*"&amp;A90&amp;"*",'Przypadki testowe'!$K$2:$K$300,"Niezaliczony"))</f>
        <v/>
      </c>
      <c r="H90" t="str">
        <f t="shared" si="2"/>
        <v/>
      </c>
    </row>
    <row r="91" spans="5:8" ht="15" customHeight="1" x14ac:dyDescent="0.25">
      <c r="E91" t="str">
        <f>IF(A91="","",COUNTIF('Przypadki testowe'!$C$2:$C$300,"*"&amp;A91&amp;"*"))</f>
        <v/>
      </c>
      <c r="F91" t="str">
        <f>IF(A91="","",COUNTIFS('Przypadki testowe'!$C$2:$C$300,"*"&amp;A91&amp;"*",'Przypadki testowe'!$K$2:$K$300,"Zaliczony"))</f>
        <v/>
      </c>
      <c r="G91" t="str">
        <f>IF(A91="","",COUNTIFS('Przypadki testowe'!$C$2:$C$300,"*"&amp;A91&amp;"*",'Przypadki testowe'!$K$2:$K$300,"Niezaliczony"))</f>
        <v/>
      </c>
      <c r="H91" t="str">
        <f t="shared" si="2"/>
        <v/>
      </c>
    </row>
    <row r="92" spans="5:8" ht="15" customHeight="1" x14ac:dyDescent="0.25">
      <c r="E92" t="str">
        <f>IF(A92="","",COUNTIF('Przypadki testowe'!$C$2:$C$300,"*"&amp;A92&amp;"*"))</f>
        <v/>
      </c>
      <c r="F92" t="str">
        <f>IF(A92="","",COUNTIFS('Przypadki testowe'!$C$2:$C$300,"*"&amp;A92&amp;"*",'Przypadki testowe'!$K$2:$K$300,"Zaliczony"))</f>
        <v/>
      </c>
      <c r="G92" t="str">
        <f>IF(A92="","",COUNTIFS('Przypadki testowe'!$C$2:$C$300,"*"&amp;A92&amp;"*",'Przypadki testowe'!$K$2:$K$300,"Niezaliczony"))</f>
        <v/>
      </c>
      <c r="H92" t="str">
        <f t="shared" si="2"/>
        <v/>
      </c>
    </row>
    <row r="93" spans="5:8" ht="15" customHeight="1" x14ac:dyDescent="0.25">
      <c r="E93" t="str">
        <f>IF(A93="","",COUNTIF('Przypadki testowe'!$C$2:$C$300,"*"&amp;A93&amp;"*"))</f>
        <v/>
      </c>
      <c r="F93" t="str">
        <f>IF(A93="","",COUNTIFS('Przypadki testowe'!$C$2:$C$300,"*"&amp;A93&amp;"*",'Przypadki testowe'!$K$2:$K$300,"Zaliczony"))</f>
        <v/>
      </c>
      <c r="G93" t="str">
        <f>IF(A93="","",COUNTIFS('Przypadki testowe'!$C$2:$C$300,"*"&amp;A93&amp;"*",'Przypadki testowe'!$K$2:$K$300,"Niezaliczony"))</f>
        <v/>
      </c>
      <c r="H93" t="str">
        <f t="shared" si="2"/>
        <v/>
      </c>
    </row>
    <row r="94" spans="5:8" ht="15" customHeight="1" x14ac:dyDescent="0.25">
      <c r="E94" t="str">
        <f>IF(A94="","",COUNTIF('Przypadki testowe'!$C$2:$C$300,"*"&amp;A94&amp;"*"))</f>
        <v/>
      </c>
      <c r="F94" t="str">
        <f>IF(A94="","",COUNTIFS('Przypadki testowe'!$C$2:$C$300,"*"&amp;A94&amp;"*",'Przypadki testowe'!$K$2:$K$300,"Zaliczony"))</f>
        <v/>
      </c>
      <c r="G94" t="str">
        <f>IF(A94="","",COUNTIFS('Przypadki testowe'!$C$2:$C$300,"*"&amp;A94&amp;"*",'Przypadki testowe'!$K$2:$K$300,"Niezaliczony"))</f>
        <v/>
      </c>
      <c r="H94" t="str">
        <f t="shared" si="2"/>
        <v/>
      </c>
    </row>
    <row r="95" spans="5:8" ht="15" customHeight="1" x14ac:dyDescent="0.25">
      <c r="E95" t="str">
        <f>IF(A95="","",COUNTIF('Przypadki testowe'!$C$2:$C$300,"*"&amp;A95&amp;"*"))</f>
        <v/>
      </c>
      <c r="F95" t="str">
        <f>IF(A95="","",COUNTIFS('Przypadki testowe'!$C$2:$C$300,"*"&amp;A95&amp;"*",'Przypadki testowe'!$K$2:$K$300,"Zaliczony"))</f>
        <v/>
      </c>
      <c r="G95" t="str">
        <f>IF(A95="","",COUNTIFS('Przypadki testowe'!$C$2:$C$300,"*"&amp;A95&amp;"*",'Przypadki testowe'!$K$2:$K$300,"Niezaliczony"))</f>
        <v/>
      </c>
      <c r="H95" t="str">
        <f t="shared" si="2"/>
        <v/>
      </c>
    </row>
    <row r="96" spans="5:8" ht="15" customHeight="1" x14ac:dyDescent="0.25">
      <c r="E96" t="str">
        <f>IF(A96="","",COUNTIF('Przypadki testowe'!$C$2:$C$300,"*"&amp;A96&amp;"*"))</f>
        <v/>
      </c>
      <c r="F96" t="str">
        <f>IF(A96="","",COUNTIFS('Przypadki testowe'!$C$2:$C$300,"*"&amp;A96&amp;"*",'Przypadki testowe'!$K$2:$K$300,"Zaliczony"))</f>
        <v/>
      </c>
      <c r="G96" t="str">
        <f>IF(A96="","",COUNTIFS('Przypadki testowe'!$C$2:$C$300,"*"&amp;A96&amp;"*",'Przypadki testowe'!$K$2:$K$300,"Niezaliczony"))</f>
        <v/>
      </c>
      <c r="H96" t="str">
        <f t="shared" si="2"/>
        <v/>
      </c>
    </row>
    <row r="97" spans="5:8" ht="15" customHeight="1" x14ac:dyDescent="0.25">
      <c r="E97" t="str">
        <f>IF(A97="","",COUNTIF('Przypadki testowe'!$C$2:$C$300,"*"&amp;A97&amp;"*"))</f>
        <v/>
      </c>
      <c r="F97" t="str">
        <f>IF(A97="","",COUNTIFS('Przypadki testowe'!$C$2:$C$300,"*"&amp;A97&amp;"*",'Przypadki testowe'!$K$2:$K$300,"Zaliczony"))</f>
        <v/>
      </c>
      <c r="G97" t="str">
        <f>IF(A97="","",COUNTIFS('Przypadki testowe'!$C$2:$C$300,"*"&amp;A97&amp;"*",'Przypadki testowe'!$K$2:$K$300,"Niezaliczony"))</f>
        <v/>
      </c>
      <c r="H97" t="str">
        <f t="shared" si="2"/>
        <v/>
      </c>
    </row>
    <row r="98" spans="5:8" ht="15" customHeight="1" x14ac:dyDescent="0.25">
      <c r="E98" t="str">
        <f>IF(A98="","",COUNTIF('Przypadki testowe'!$C$2:$C$300,"*"&amp;A98&amp;"*"))</f>
        <v/>
      </c>
      <c r="F98" t="str">
        <f>IF(A98="","",COUNTIFS('Przypadki testowe'!$C$2:$C$300,"*"&amp;A98&amp;"*",'Przypadki testowe'!$K$2:$K$300,"Zaliczony"))</f>
        <v/>
      </c>
      <c r="G98" t="str">
        <f>IF(A98="","",COUNTIFS('Przypadki testowe'!$C$2:$C$300,"*"&amp;A98&amp;"*",'Przypadki testowe'!$K$2:$K$300,"Niezaliczony"))</f>
        <v/>
      </c>
      <c r="H98" t="str">
        <f t="shared" ref="H98:H120" si="3">IF(A98="","",IF(E98&gt;0,"Pokryte","BRAK"))</f>
        <v/>
      </c>
    </row>
    <row r="99" spans="5:8" ht="15" customHeight="1" x14ac:dyDescent="0.25">
      <c r="E99" t="str">
        <f>IF(A99="","",COUNTIF('Przypadki testowe'!$C$2:$C$300,"*"&amp;A99&amp;"*"))</f>
        <v/>
      </c>
      <c r="F99" t="str">
        <f>IF(A99="","",COUNTIFS('Przypadki testowe'!$C$2:$C$300,"*"&amp;A99&amp;"*",'Przypadki testowe'!$K$2:$K$300,"Zaliczony"))</f>
        <v/>
      </c>
      <c r="G99" t="str">
        <f>IF(A99="","",COUNTIFS('Przypadki testowe'!$C$2:$C$300,"*"&amp;A99&amp;"*",'Przypadki testowe'!$K$2:$K$300,"Niezaliczony"))</f>
        <v/>
      </c>
      <c r="H99" t="str">
        <f t="shared" si="3"/>
        <v/>
      </c>
    </row>
    <row r="100" spans="5:8" ht="15" customHeight="1" x14ac:dyDescent="0.25">
      <c r="E100" t="str">
        <f>IF(A100="","",COUNTIF('Przypadki testowe'!$C$2:$C$300,"*"&amp;A100&amp;"*"))</f>
        <v/>
      </c>
      <c r="F100" t="str">
        <f>IF(A100="","",COUNTIFS('Przypadki testowe'!$C$2:$C$300,"*"&amp;A100&amp;"*",'Przypadki testowe'!$K$2:$K$300,"Zaliczony"))</f>
        <v/>
      </c>
      <c r="G100" t="str">
        <f>IF(A100="","",COUNTIFS('Przypadki testowe'!$C$2:$C$300,"*"&amp;A100&amp;"*",'Przypadki testowe'!$K$2:$K$300,"Niezaliczony"))</f>
        <v/>
      </c>
      <c r="H100" t="str">
        <f t="shared" si="3"/>
        <v/>
      </c>
    </row>
    <row r="101" spans="5:8" ht="15" customHeight="1" x14ac:dyDescent="0.25">
      <c r="E101" t="str">
        <f>IF(A101="","",COUNTIF('Przypadki testowe'!$C$2:$C$300,"*"&amp;A101&amp;"*"))</f>
        <v/>
      </c>
      <c r="F101" t="str">
        <f>IF(A101="","",COUNTIFS('Przypadki testowe'!$C$2:$C$300,"*"&amp;A101&amp;"*",'Przypadki testowe'!$K$2:$K$300,"Zaliczony"))</f>
        <v/>
      </c>
      <c r="G101" t="str">
        <f>IF(A101="","",COUNTIFS('Przypadki testowe'!$C$2:$C$300,"*"&amp;A101&amp;"*",'Przypadki testowe'!$K$2:$K$300,"Niezaliczony"))</f>
        <v/>
      </c>
      <c r="H101" t="str">
        <f t="shared" si="3"/>
        <v/>
      </c>
    </row>
    <row r="102" spans="5:8" ht="15" customHeight="1" x14ac:dyDescent="0.25">
      <c r="E102" t="str">
        <f>IF(A102="","",COUNTIF('Przypadki testowe'!$C$2:$C$300,"*"&amp;A102&amp;"*"))</f>
        <v/>
      </c>
      <c r="F102" t="str">
        <f>IF(A102="","",COUNTIFS('Przypadki testowe'!$C$2:$C$300,"*"&amp;A102&amp;"*",'Przypadki testowe'!$K$2:$K$300,"Zaliczony"))</f>
        <v/>
      </c>
      <c r="G102" t="str">
        <f>IF(A102="","",COUNTIFS('Przypadki testowe'!$C$2:$C$300,"*"&amp;A102&amp;"*",'Przypadki testowe'!$K$2:$K$300,"Niezaliczony"))</f>
        <v/>
      </c>
      <c r="H102" t="str">
        <f t="shared" si="3"/>
        <v/>
      </c>
    </row>
    <row r="103" spans="5:8" ht="15" customHeight="1" x14ac:dyDescent="0.25">
      <c r="E103" t="str">
        <f>IF(A103="","",COUNTIF('Przypadki testowe'!$C$2:$C$300,"*"&amp;A103&amp;"*"))</f>
        <v/>
      </c>
      <c r="F103" t="str">
        <f>IF(A103="","",COUNTIFS('Przypadki testowe'!$C$2:$C$300,"*"&amp;A103&amp;"*",'Przypadki testowe'!$K$2:$K$300,"Zaliczony"))</f>
        <v/>
      </c>
      <c r="G103" t="str">
        <f>IF(A103="","",COUNTIFS('Przypadki testowe'!$C$2:$C$300,"*"&amp;A103&amp;"*",'Przypadki testowe'!$K$2:$K$300,"Niezaliczony"))</f>
        <v/>
      </c>
      <c r="H103" t="str">
        <f t="shared" si="3"/>
        <v/>
      </c>
    </row>
    <row r="104" spans="5:8" ht="15" customHeight="1" x14ac:dyDescent="0.25">
      <c r="E104" t="str">
        <f>IF(A104="","",COUNTIF('Przypadki testowe'!$C$2:$C$300,"*"&amp;A104&amp;"*"))</f>
        <v/>
      </c>
      <c r="F104" t="str">
        <f>IF(A104="","",COUNTIFS('Przypadki testowe'!$C$2:$C$300,"*"&amp;A104&amp;"*",'Przypadki testowe'!$K$2:$K$300,"Zaliczony"))</f>
        <v/>
      </c>
      <c r="G104" t="str">
        <f>IF(A104="","",COUNTIFS('Przypadki testowe'!$C$2:$C$300,"*"&amp;A104&amp;"*",'Przypadki testowe'!$K$2:$K$300,"Niezaliczony"))</f>
        <v/>
      </c>
      <c r="H104" t="str">
        <f t="shared" si="3"/>
        <v/>
      </c>
    </row>
    <row r="105" spans="5:8" ht="15" customHeight="1" x14ac:dyDescent="0.25">
      <c r="E105" t="str">
        <f>IF(A105="","",COUNTIF('Przypadki testowe'!$C$2:$C$300,"*"&amp;A105&amp;"*"))</f>
        <v/>
      </c>
      <c r="F105" t="str">
        <f>IF(A105="","",COUNTIFS('Przypadki testowe'!$C$2:$C$300,"*"&amp;A105&amp;"*",'Przypadki testowe'!$K$2:$K$300,"Zaliczony"))</f>
        <v/>
      </c>
      <c r="G105" t="str">
        <f>IF(A105="","",COUNTIFS('Przypadki testowe'!$C$2:$C$300,"*"&amp;A105&amp;"*",'Przypadki testowe'!$K$2:$K$300,"Niezaliczony"))</f>
        <v/>
      </c>
      <c r="H105" t="str">
        <f t="shared" si="3"/>
        <v/>
      </c>
    </row>
    <row r="106" spans="5:8" ht="15" customHeight="1" x14ac:dyDescent="0.25">
      <c r="E106" t="str">
        <f>IF(A106="","",COUNTIF('Przypadki testowe'!$C$2:$C$300,"*"&amp;A106&amp;"*"))</f>
        <v/>
      </c>
      <c r="F106" t="str">
        <f>IF(A106="","",COUNTIFS('Przypadki testowe'!$C$2:$C$300,"*"&amp;A106&amp;"*",'Przypadki testowe'!$K$2:$K$300,"Zaliczony"))</f>
        <v/>
      </c>
      <c r="G106" t="str">
        <f>IF(A106="","",COUNTIFS('Przypadki testowe'!$C$2:$C$300,"*"&amp;A106&amp;"*",'Przypadki testowe'!$K$2:$K$300,"Niezaliczony"))</f>
        <v/>
      </c>
      <c r="H106" t="str">
        <f t="shared" si="3"/>
        <v/>
      </c>
    </row>
    <row r="107" spans="5:8" ht="15" customHeight="1" x14ac:dyDescent="0.25">
      <c r="E107" t="str">
        <f>IF(A107="","",COUNTIF('Przypadki testowe'!$C$2:$C$300,"*"&amp;A107&amp;"*"))</f>
        <v/>
      </c>
      <c r="F107" t="str">
        <f>IF(A107="","",COUNTIFS('Przypadki testowe'!$C$2:$C$300,"*"&amp;A107&amp;"*",'Przypadki testowe'!$K$2:$K$300,"Zaliczony"))</f>
        <v/>
      </c>
      <c r="G107" t="str">
        <f>IF(A107="","",COUNTIFS('Przypadki testowe'!$C$2:$C$300,"*"&amp;A107&amp;"*",'Przypadki testowe'!$K$2:$K$300,"Niezaliczony"))</f>
        <v/>
      </c>
      <c r="H107" t="str">
        <f t="shared" si="3"/>
        <v/>
      </c>
    </row>
    <row r="108" spans="5:8" ht="15" customHeight="1" x14ac:dyDescent="0.25">
      <c r="E108" t="str">
        <f>IF(A108="","",COUNTIF('Przypadki testowe'!$C$2:$C$300,"*"&amp;A108&amp;"*"))</f>
        <v/>
      </c>
      <c r="F108" t="str">
        <f>IF(A108="","",COUNTIFS('Przypadki testowe'!$C$2:$C$300,"*"&amp;A108&amp;"*",'Przypadki testowe'!$K$2:$K$300,"Zaliczony"))</f>
        <v/>
      </c>
      <c r="G108" t="str">
        <f>IF(A108="","",COUNTIFS('Przypadki testowe'!$C$2:$C$300,"*"&amp;A108&amp;"*",'Przypadki testowe'!$K$2:$K$300,"Niezaliczony"))</f>
        <v/>
      </c>
      <c r="H108" t="str">
        <f t="shared" si="3"/>
        <v/>
      </c>
    </row>
    <row r="109" spans="5:8" ht="15" customHeight="1" x14ac:dyDescent="0.25">
      <c r="E109" t="str">
        <f>IF(A109="","",COUNTIF('Przypadki testowe'!$C$2:$C$300,"*"&amp;A109&amp;"*"))</f>
        <v/>
      </c>
      <c r="F109" t="str">
        <f>IF(A109="","",COUNTIFS('Przypadki testowe'!$C$2:$C$300,"*"&amp;A109&amp;"*",'Przypadki testowe'!$K$2:$K$300,"Zaliczony"))</f>
        <v/>
      </c>
      <c r="G109" t="str">
        <f>IF(A109="","",COUNTIFS('Przypadki testowe'!$C$2:$C$300,"*"&amp;A109&amp;"*",'Przypadki testowe'!$K$2:$K$300,"Niezaliczony"))</f>
        <v/>
      </c>
      <c r="H109" t="str">
        <f t="shared" si="3"/>
        <v/>
      </c>
    </row>
    <row r="110" spans="5:8" ht="15" customHeight="1" x14ac:dyDescent="0.25">
      <c r="E110" t="str">
        <f>IF(A110="","",COUNTIF('Przypadki testowe'!$C$2:$C$300,"*"&amp;A110&amp;"*"))</f>
        <v/>
      </c>
      <c r="F110" t="str">
        <f>IF(A110="","",COUNTIFS('Przypadki testowe'!$C$2:$C$300,"*"&amp;A110&amp;"*",'Przypadki testowe'!$K$2:$K$300,"Zaliczony"))</f>
        <v/>
      </c>
      <c r="G110" t="str">
        <f>IF(A110="","",COUNTIFS('Przypadki testowe'!$C$2:$C$300,"*"&amp;A110&amp;"*",'Przypadki testowe'!$K$2:$K$300,"Niezaliczony"))</f>
        <v/>
      </c>
      <c r="H110" t="str">
        <f t="shared" si="3"/>
        <v/>
      </c>
    </row>
    <row r="111" spans="5:8" ht="15" customHeight="1" x14ac:dyDescent="0.25">
      <c r="E111" t="str">
        <f>IF(A111="","",COUNTIF('Przypadki testowe'!$C$2:$C$300,"*"&amp;A111&amp;"*"))</f>
        <v/>
      </c>
      <c r="F111" t="str">
        <f>IF(A111="","",COUNTIFS('Przypadki testowe'!$C$2:$C$300,"*"&amp;A111&amp;"*",'Przypadki testowe'!$K$2:$K$300,"Zaliczony"))</f>
        <v/>
      </c>
      <c r="G111" t="str">
        <f>IF(A111="","",COUNTIFS('Przypadki testowe'!$C$2:$C$300,"*"&amp;A111&amp;"*",'Przypadki testowe'!$K$2:$K$300,"Niezaliczony"))</f>
        <v/>
      </c>
      <c r="H111" t="str">
        <f t="shared" si="3"/>
        <v/>
      </c>
    </row>
    <row r="112" spans="5:8" ht="15" customHeight="1" x14ac:dyDescent="0.25">
      <c r="E112" t="str">
        <f>IF(A112="","",COUNTIF('Przypadki testowe'!$C$2:$C$300,"*"&amp;A112&amp;"*"))</f>
        <v/>
      </c>
      <c r="F112" t="str">
        <f>IF(A112="","",COUNTIFS('Przypadki testowe'!$C$2:$C$300,"*"&amp;A112&amp;"*",'Przypadki testowe'!$K$2:$K$300,"Zaliczony"))</f>
        <v/>
      </c>
      <c r="G112" t="str">
        <f>IF(A112="","",COUNTIFS('Przypadki testowe'!$C$2:$C$300,"*"&amp;A112&amp;"*",'Przypadki testowe'!$K$2:$K$300,"Niezaliczony"))</f>
        <v/>
      </c>
      <c r="H112" t="str">
        <f t="shared" si="3"/>
        <v/>
      </c>
    </row>
    <row r="113" spans="5:8" ht="15" customHeight="1" x14ac:dyDescent="0.25">
      <c r="E113" t="str">
        <f>IF(A113="","",COUNTIF('Przypadki testowe'!$C$2:$C$300,"*"&amp;A113&amp;"*"))</f>
        <v/>
      </c>
      <c r="F113" t="str">
        <f>IF(A113="","",COUNTIFS('Przypadki testowe'!$C$2:$C$300,"*"&amp;A113&amp;"*",'Przypadki testowe'!$K$2:$K$300,"Zaliczony"))</f>
        <v/>
      </c>
      <c r="G113" t="str">
        <f>IF(A113="","",COUNTIFS('Przypadki testowe'!$C$2:$C$300,"*"&amp;A113&amp;"*",'Przypadki testowe'!$K$2:$K$300,"Niezaliczony"))</f>
        <v/>
      </c>
      <c r="H113" t="str">
        <f t="shared" si="3"/>
        <v/>
      </c>
    </row>
    <row r="114" spans="5:8" ht="15" customHeight="1" x14ac:dyDescent="0.25">
      <c r="E114" t="str">
        <f>IF(A114="","",COUNTIF('Przypadki testowe'!$C$2:$C$300,"*"&amp;A114&amp;"*"))</f>
        <v/>
      </c>
      <c r="F114" t="str">
        <f>IF(A114="","",COUNTIFS('Przypadki testowe'!$C$2:$C$300,"*"&amp;A114&amp;"*",'Przypadki testowe'!$K$2:$K$300,"Zaliczony"))</f>
        <v/>
      </c>
      <c r="G114" t="str">
        <f>IF(A114="","",COUNTIFS('Przypadki testowe'!$C$2:$C$300,"*"&amp;A114&amp;"*",'Przypadki testowe'!$K$2:$K$300,"Niezaliczony"))</f>
        <v/>
      </c>
      <c r="H114" t="str">
        <f t="shared" si="3"/>
        <v/>
      </c>
    </row>
    <row r="115" spans="5:8" ht="15" customHeight="1" x14ac:dyDescent="0.25">
      <c r="E115" t="str">
        <f>IF(A115="","",COUNTIF('Przypadki testowe'!$C$2:$C$300,"*"&amp;A115&amp;"*"))</f>
        <v/>
      </c>
      <c r="F115" t="str">
        <f>IF(A115="","",COUNTIFS('Przypadki testowe'!$C$2:$C$300,"*"&amp;A115&amp;"*",'Przypadki testowe'!$K$2:$K$300,"Zaliczony"))</f>
        <v/>
      </c>
      <c r="G115" t="str">
        <f>IF(A115="","",COUNTIFS('Przypadki testowe'!$C$2:$C$300,"*"&amp;A115&amp;"*",'Przypadki testowe'!$K$2:$K$300,"Niezaliczony"))</f>
        <v/>
      </c>
      <c r="H115" t="str">
        <f t="shared" si="3"/>
        <v/>
      </c>
    </row>
    <row r="116" spans="5:8" ht="15" customHeight="1" x14ac:dyDescent="0.25">
      <c r="E116" t="str">
        <f>IF(A116="","",COUNTIF('Przypadki testowe'!$C$2:$C$300,"*"&amp;A116&amp;"*"))</f>
        <v/>
      </c>
      <c r="F116" t="str">
        <f>IF(A116="","",COUNTIFS('Przypadki testowe'!$C$2:$C$300,"*"&amp;A116&amp;"*",'Przypadki testowe'!$K$2:$K$300,"Zaliczony"))</f>
        <v/>
      </c>
      <c r="G116" t="str">
        <f>IF(A116="","",COUNTIFS('Przypadki testowe'!$C$2:$C$300,"*"&amp;A116&amp;"*",'Przypadki testowe'!$K$2:$K$300,"Niezaliczony"))</f>
        <v/>
      </c>
      <c r="H116" t="str">
        <f t="shared" si="3"/>
        <v/>
      </c>
    </row>
    <row r="117" spans="5:8" ht="15" customHeight="1" x14ac:dyDescent="0.25">
      <c r="E117" t="str">
        <f>IF(A117="","",COUNTIF('Przypadki testowe'!$C$2:$C$300,"*"&amp;A117&amp;"*"))</f>
        <v/>
      </c>
      <c r="F117" t="str">
        <f>IF(A117="","",COUNTIFS('Przypadki testowe'!$C$2:$C$300,"*"&amp;A117&amp;"*",'Przypadki testowe'!$K$2:$K$300,"Zaliczony"))</f>
        <v/>
      </c>
      <c r="G117" t="str">
        <f>IF(A117="","",COUNTIFS('Przypadki testowe'!$C$2:$C$300,"*"&amp;A117&amp;"*",'Przypadki testowe'!$K$2:$K$300,"Niezaliczony"))</f>
        <v/>
      </c>
      <c r="H117" t="str">
        <f t="shared" si="3"/>
        <v/>
      </c>
    </row>
    <row r="118" spans="5:8" ht="15" customHeight="1" x14ac:dyDescent="0.25">
      <c r="E118" t="str">
        <f>IF(A118="","",COUNTIF('Przypadki testowe'!$C$2:$C$300,"*"&amp;A118&amp;"*"))</f>
        <v/>
      </c>
      <c r="F118" t="str">
        <f>IF(A118="","",COUNTIFS('Przypadki testowe'!$C$2:$C$300,"*"&amp;A118&amp;"*",'Przypadki testowe'!$K$2:$K$300,"Zaliczony"))</f>
        <v/>
      </c>
      <c r="G118" t="str">
        <f>IF(A118="","",COUNTIFS('Przypadki testowe'!$C$2:$C$300,"*"&amp;A118&amp;"*",'Przypadki testowe'!$K$2:$K$300,"Niezaliczony"))</f>
        <v/>
      </c>
      <c r="H118" t="str">
        <f t="shared" si="3"/>
        <v/>
      </c>
    </row>
    <row r="119" spans="5:8" ht="15" customHeight="1" x14ac:dyDescent="0.25">
      <c r="E119" t="str">
        <f>IF(A119="","",COUNTIF('Przypadki testowe'!$C$2:$C$300,"*"&amp;A119&amp;"*"))</f>
        <v/>
      </c>
      <c r="F119" t="str">
        <f>IF(A119="","",COUNTIFS('Przypadki testowe'!$C$2:$C$300,"*"&amp;A119&amp;"*",'Przypadki testowe'!$K$2:$K$300,"Zaliczony"))</f>
        <v/>
      </c>
      <c r="G119" t="str">
        <f>IF(A119="","",COUNTIFS('Przypadki testowe'!$C$2:$C$300,"*"&amp;A119&amp;"*",'Przypadki testowe'!$K$2:$K$300,"Niezaliczony"))</f>
        <v/>
      </c>
      <c r="H119" t="str">
        <f t="shared" si="3"/>
        <v/>
      </c>
    </row>
    <row r="120" spans="5:8" ht="15" customHeight="1" x14ac:dyDescent="0.25">
      <c r="E120" t="str">
        <f>IF(A120="","",COUNTIF('Przypadki testowe'!$C$2:$C$300,"*"&amp;A120&amp;"*"))</f>
        <v/>
      </c>
      <c r="F120" t="str">
        <f>IF(A120="","",COUNTIFS('Przypadki testowe'!$C$2:$C$300,"*"&amp;A120&amp;"*",'Przypadki testowe'!$K$2:$K$300,"Zaliczony"))</f>
        <v/>
      </c>
      <c r="G120" t="str">
        <f>IF(A120="","",COUNTIFS('Przypadki testowe'!$C$2:$C$300,"*"&amp;A120&amp;"*",'Przypadki testowe'!$K$2:$K$300,"Niezaliczony"))</f>
        <v/>
      </c>
      <c r="H120" t="str">
        <f t="shared" si="3"/>
        <v/>
      </c>
    </row>
  </sheetData>
  <autoFilter ref="A1:I1" xr:uid="{00000000-0009-0000-0000-000004000000}"/>
  <dataValidations count="1">
    <dataValidation type="list" allowBlank="1" showInputMessage="1" showErrorMessage="1" errorTitle="Priorytet" error="Wybierz wartość z listy rozwijanej." promptTitle="Priorytet" prompt="Wybierz z listy" sqref="C2:C300" xr:uid="{00000000-0002-0000-0400-000000000000}">
      <formula1>"Wysoki,Średni,Niski"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2"/>
  <sheetViews>
    <sheetView zoomScaleNormal="100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L7" sqref="L7"/>
    </sheetView>
  </sheetViews>
  <sheetFormatPr defaultColWidth="8.7109375" defaultRowHeight="15" x14ac:dyDescent="0.25"/>
  <cols>
    <col min="1" max="1" width="10" customWidth="1"/>
    <col min="2" max="2" width="38" customWidth="1"/>
    <col min="3" max="3" width="11" customWidth="1"/>
    <col min="4" max="4" width="13" customWidth="1"/>
    <col min="5" max="5" width="28" customWidth="1"/>
    <col min="6" max="6" width="26" customWidth="1"/>
    <col min="7" max="7" width="22" customWidth="1"/>
    <col min="8" max="8" width="44" customWidth="1"/>
    <col min="9" max="9" width="34" customWidth="1"/>
    <col min="10" max="10" width="38" customWidth="1"/>
    <col min="11" max="11" width="11" customWidth="1"/>
    <col min="12" max="12" width="10" customWidth="1"/>
    <col min="13" max="13" width="12" customWidth="1"/>
    <col min="14" max="14" width="13" customWidth="1"/>
    <col min="15" max="16" width="18" customWidth="1"/>
    <col min="17" max="17" width="32" customWidth="1"/>
  </cols>
  <sheetData>
    <row r="1" spans="1:17" ht="31.5" customHeight="1" x14ac:dyDescent="0.25">
      <c r="A1" s="7" t="s">
        <v>79</v>
      </c>
      <c r="B1" s="7" t="s">
        <v>354</v>
      </c>
      <c r="C1" s="7" t="s">
        <v>348</v>
      </c>
      <c r="D1" s="7" t="s">
        <v>355</v>
      </c>
      <c r="E1" s="7" t="s">
        <v>356</v>
      </c>
      <c r="F1" s="7" t="s">
        <v>357</v>
      </c>
      <c r="G1" s="7" t="s">
        <v>146</v>
      </c>
      <c r="H1" s="7" t="s">
        <v>358</v>
      </c>
      <c r="I1" s="7" t="s">
        <v>149</v>
      </c>
      <c r="J1" s="7" t="s">
        <v>150</v>
      </c>
      <c r="K1" s="7" t="s">
        <v>359</v>
      </c>
      <c r="L1" s="7" t="s">
        <v>81</v>
      </c>
      <c r="M1" s="7" t="s">
        <v>360</v>
      </c>
      <c r="N1" s="7" t="s">
        <v>151</v>
      </c>
      <c r="O1" s="7" t="s">
        <v>361</v>
      </c>
      <c r="P1" s="7" t="s">
        <v>362</v>
      </c>
      <c r="Q1" s="7" t="s">
        <v>82</v>
      </c>
    </row>
    <row r="2" spans="1:17" ht="41.85" customHeight="1" x14ac:dyDescent="0.25">
      <c r="A2" s="24" t="s">
        <v>457</v>
      </c>
      <c r="B2" s="24" t="s">
        <v>469</v>
      </c>
      <c r="C2" s="24" t="s">
        <v>458</v>
      </c>
      <c r="D2" s="24" t="s">
        <v>437</v>
      </c>
      <c r="E2" s="24" t="s">
        <v>459</v>
      </c>
      <c r="F2" s="21" t="s">
        <v>468</v>
      </c>
      <c r="G2" s="24" t="s">
        <v>460</v>
      </c>
      <c r="H2" s="24" t="s">
        <v>461</v>
      </c>
      <c r="I2" s="24" t="s">
        <v>462</v>
      </c>
      <c r="J2" s="21" t="s">
        <v>466</v>
      </c>
      <c r="K2" s="24" t="s">
        <v>463</v>
      </c>
      <c r="L2" s="24" t="s">
        <v>89</v>
      </c>
      <c r="M2" s="21" t="s">
        <v>467</v>
      </c>
      <c r="N2" s="24" t="s">
        <v>464</v>
      </c>
      <c r="O2" s="24" t="s">
        <v>465</v>
      </c>
      <c r="P2" s="24"/>
      <c r="Q2" s="24" t="s">
        <v>470</v>
      </c>
    </row>
  </sheetData>
  <autoFilter ref="A1:Q1" xr:uid="{00000000-0009-0000-0000-000006000000}"/>
  <dataValidations count="4">
    <dataValidation type="list" allowBlank="1" showInputMessage="1" showErrorMessage="1" errorTitle="Ważność" error="Wybierz wartość z listy rozwijanej." promptTitle="Ważność" prompt="Wybierz z listy" sqref="K2:K300" xr:uid="{00000000-0002-0000-0600-000000000000}">
      <formula1>"Krytyczna,Wysoka,Średnia,Niska"</formula1>
      <formula2>0</formula2>
    </dataValidation>
    <dataValidation type="list" allowBlank="1" showInputMessage="1" showErrorMessage="1" errorTitle="Priorytet" error="Wybierz wartość z listy rozwijanej." promptTitle="Priorytet" prompt="Wybierz z listy" sqref="L2:L300" xr:uid="{00000000-0002-0000-0600-000001000000}">
      <formula1>"Wysoki,Średni,Niski"</formula1>
      <formula2>0</formula2>
    </dataValidation>
    <dataValidation type="list" allowBlank="1" showInputMessage="1" showErrorMessage="1" errorTitle="Powtarzalność" error="Wybierz wartość z listy rozwijanej." promptTitle="Powtarzalność" prompt="Wybierz z listy" sqref="M2:M300" xr:uid="{00000000-0002-0000-0600-000002000000}">
      <formula1>"Zawsze,Czasami,Jednorazowo"</formula1>
      <formula2>0</formula2>
    </dataValidation>
    <dataValidation type="list" allowBlank="1" showInputMessage="1" showErrorMessage="1" errorTitle="Status" error="Wybierz wartość z listy rozwijanej." promptTitle="Status" prompt="Wybierz z listy" sqref="N2:N300" xr:uid="{00000000-0002-0000-0600-000003000000}">
      <formula1>"Nowy,Otwarty,W naprawie,Naprawiony,Do retestu,Zamknięty,Odrzucony,Odroczony,Ponownie otwarty"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topLeftCell="C1" zoomScaleNormal="100" workbookViewId="0">
      <pane ySplit="10" topLeftCell="A11" activePane="bottomLeft" state="frozen"/>
      <selection pane="bottomLeft" activeCell="G15" sqref="G15"/>
    </sheetView>
  </sheetViews>
  <sheetFormatPr defaultColWidth="8.7109375" defaultRowHeight="15" x14ac:dyDescent="0.25"/>
  <cols>
    <col min="1" max="1" width="22" customWidth="1"/>
    <col min="2" max="2" width="40" customWidth="1"/>
    <col min="3" max="3" width="45" customWidth="1"/>
    <col min="4" max="4" width="16" customWidth="1"/>
    <col min="5" max="5" width="20" customWidth="1"/>
    <col min="6" max="6" width="10" customWidth="1"/>
  </cols>
  <sheetData>
    <row r="1" spans="1:6" ht="31.5" customHeight="1" x14ac:dyDescent="0.25">
      <c r="A1" s="6" t="s">
        <v>337</v>
      </c>
      <c r="B1" s="6" t="s">
        <v>338</v>
      </c>
    </row>
    <row r="2" spans="1:6" ht="15" customHeight="1" x14ac:dyDescent="0.25">
      <c r="A2" s="10" t="s">
        <v>339</v>
      </c>
      <c r="B2" s="17" t="s">
        <v>340</v>
      </c>
      <c r="C2" s="18"/>
      <c r="D2" s="18"/>
      <c r="E2" s="18"/>
      <c r="F2" s="19"/>
    </row>
    <row r="3" spans="1:6" ht="30" customHeight="1" x14ac:dyDescent="0.25">
      <c r="A3" s="10" t="s">
        <v>341</v>
      </c>
      <c r="B3" s="17" t="s">
        <v>342</v>
      </c>
      <c r="C3" s="18"/>
      <c r="D3" s="18"/>
      <c r="E3" s="18"/>
      <c r="F3" s="19"/>
    </row>
    <row r="4" spans="1:6" ht="15" customHeight="1" x14ac:dyDescent="0.25">
      <c r="A4" s="10" t="s">
        <v>343</v>
      </c>
      <c r="B4" s="17" t="s">
        <v>344</v>
      </c>
      <c r="C4" s="18"/>
      <c r="D4" s="18"/>
      <c r="E4" s="18"/>
      <c r="F4" s="19"/>
    </row>
    <row r="5" spans="1:6" ht="15" customHeight="1" x14ac:dyDescent="0.25">
      <c r="A5" s="10" t="s">
        <v>345</v>
      </c>
      <c r="B5" s="11" t="s">
        <v>346</v>
      </c>
    </row>
    <row r="6" spans="1:6" ht="15" customHeight="1" x14ac:dyDescent="0.25">
      <c r="A6" s="10" t="s">
        <v>347</v>
      </c>
      <c r="B6" s="11" t="s">
        <v>437</v>
      </c>
    </row>
    <row r="7" spans="1:6" ht="15" customHeight="1" x14ac:dyDescent="0.25">
      <c r="A7" s="10" t="s">
        <v>348</v>
      </c>
      <c r="B7" s="20">
        <v>46303</v>
      </c>
    </row>
    <row r="10" spans="1:6" ht="31.5" customHeight="1" x14ac:dyDescent="0.25">
      <c r="A10" s="6" t="s">
        <v>35</v>
      </c>
      <c r="B10" s="6" t="s">
        <v>349</v>
      </c>
      <c r="C10" s="6" t="s">
        <v>350</v>
      </c>
      <c r="D10" s="6" t="s">
        <v>351</v>
      </c>
      <c r="E10" s="6" t="s">
        <v>352</v>
      </c>
      <c r="F10" s="6" t="s">
        <v>353</v>
      </c>
    </row>
    <row r="11" spans="1:6" ht="41.85" customHeight="1" x14ac:dyDescent="0.25">
      <c r="A11" s="11">
        <v>1</v>
      </c>
      <c r="B11" s="24" t="s">
        <v>438</v>
      </c>
      <c r="C11" s="11" t="s">
        <v>439</v>
      </c>
      <c r="D11" s="11" t="s">
        <v>441</v>
      </c>
      <c r="E11" s="11">
        <v>1</v>
      </c>
      <c r="F11" s="11">
        <v>2</v>
      </c>
    </row>
    <row r="12" spans="1:6" ht="45" x14ac:dyDescent="0.25">
      <c r="A12">
        <v>2</v>
      </c>
      <c r="B12" s="23" t="s">
        <v>442</v>
      </c>
      <c r="C12" t="s">
        <v>443</v>
      </c>
      <c r="D12" t="s">
        <v>441</v>
      </c>
      <c r="E12">
        <v>2</v>
      </c>
      <c r="F12">
        <v>2</v>
      </c>
    </row>
    <row r="13" spans="1:6" ht="45" x14ac:dyDescent="0.25">
      <c r="A13">
        <v>3</v>
      </c>
      <c r="B13" s="23" t="s">
        <v>444</v>
      </c>
      <c r="C13" t="s">
        <v>443</v>
      </c>
      <c r="D13" t="s">
        <v>440</v>
      </c>
      <c r="E13">
        <v>3</v>
      </c>
      <c r="F13">
        <v>2</v>
      </c>
    </row>
    <row r="14" spans="1:6" ht="45" x14ac:dyDescent="0.25">
      <c r="A14">
        <v>4</v>
      </c>
      <c r="B14" s="23" t="s">
        <v>445</v>
      </c>
      <c r="C14" t="s">
        <v>446</v>
      </c>
      <c r="D14" t="s">
        <v>440</v>
      </c>
      <c r="E14">
        <v>4</v>
      </c>
      <c r="F14">
        <v>2</v>
      </c>
    </row>
    <row r="15" spans="1:6" ht="45" x14ac:dyDescent="0.25">
      <c r="A15">
        <v>5</v>
      </c>
      <c r="B15" s="23" t="s">
        <v>452</v>
      </c>
      <c r="C15" t="s">
        <v>448</v>
      </c>
      <c r="D15" t="s">
        <v>441</v>
      </c>
      <c r="E15" s="22">
        <v>5</v>
      </c>
      <c r="F15">
        <v>2</v>
      </c>
    </row>
    <row r="16" spans="1:6" ht="45" x14ac:dyDescent="0.25">
      <c r="A16">
        <v>6</v>
      </c>
      <c r="B16" s="23" t="s">
        <v>449</v>
      </c>
      <c r="C16" t="s">
        <v>448</v>
      </c>
      <c r="D16" t="s">
        <v>441</v>
      </c>
      <c r="E16" s="22">
        <v>6</v>
      </c>
      <c r="F16">
        <v>2</v>
      </c>
    </row>
    <row r="17" spans="1:6" ht="60" x14ac:dyDescent="0.25">
      <c r="A17">
        <v>7</v>
      </c>
      <c r="B17" s="23" t="s">
        <v>451</v>
      </c>
      <c r="C17" t="s">
        <v>453</v>
      </c>
      <c r="D17" t="s">
        <v>441</v>
      </c>
      <c r="E17" s="22">
        <v>7</v>
      </c>
      <c r="F17">
        <v>2</v>
      </c>
    </row>
    <row r="18" spans="1:6" ht="45" x14ac:dyDescent="0.25">
      <c r="A18">
        <v>8</v>
      </c>
      <c r="B18" s="23" t="s">
        <v>450</v>
      </c>
      <c r="C18" t="s">
        <v>453</v>
      </c>
      <c r="D18" t="s">
        <v>441</v>
      </c>
      <c r="E18" s="22">
        <v>8</v>
      </c>
      <c r="F18">
        <v>2</v>
      </c>
    </row>
    <row r="19" spans="1:6" ht="60" x14ac:dyDescent="0.25">
      <c r="A19">
        <v>9</v>
      </c>
      <c r="B19" s="23" t="s">
        <v>454</v>
      </c>
      <c r="C19" t="s">
        <v>443</v>
      </c>
      <c r="D19" t="s">
        <v>440</v>
      </c>
      <c r="E19" s="22">
        <v>9</v>
      </c>
      <c r="F19">
        <v>2</v>
      </c>
    </row>
    <row r="20" spans="1:6" ht="60" x14ac:dyDescent="0.25">
      <c r="A20">
        <v>10</v>
      </c>
      <c r="B20" s="23" t="s">
        <v>455</v>
      </c>
      <c r="C20" t="s">
        <v>456</v>
      </c>
      <c r="D20" t="s">
        <v>447</v>
      </c>
      <c r="E20" s="22">
        <v>10</v>
      </c>
      <c r="F20">
        <v>2</v>
      </c>
    </row>
  </sheetData>
  <mergeCells count="3">
    <mergeCell ref="B2:F2"/>
    <mergeCell ref="B4:F4"/>
    <mergeCell ref="B3:F3"/>
  </mergeCells>
  <dataValidations count="1">
    <dataValidation type="list" allowBlank="1" showErrorMessage="1" errorTitle="Ocena" error="Wybierz wartość z listy rozwijanej." promptTitle="Ocena" prompt="Wybierz z listy" sqref="D11:D200" xr:uid="{00000000-0002-0000-0500-000000000000}">
      <formula1>"OK,Kandydat na defekt,Pytanie"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13"/>
  <sheetViews>
    <sheetView tabSelected="1" zoomScaleNormal="100" workbookViewId="0">
      <pane ySplit="1" topLeftCell="A2" activePane="bottomLeft" state="frozen"/>
      <selection pane="bottomLeft" activeCell="D13" sqref="D13"/>
    </sheetView>
  </sheetViews>
  <sheetFormatPr defaultColWidth="8.7109375" defaultRowHeight="15" x14ac:dyDescent="0.25"/>
  <cols>
    <col min="1" max="1" width="8" customWidth="1"/>
    <col min="2" max="2" width="16" customWidth="1"/>
    <col min="3" max="3" width="60" customWidth="1"/>
    <col min="4" max="4" width="14" customWidth="1"/>
    <col min="5" max="5" width="52" customWidth="1"/>
    <col min="6" max="6" width="11" customWidth="1"/>
  </cols>
  <sheetData>
    <row r="1" spans="1:6" ht="31.5" customHeight="1" x14ac:dyDescent="0.25">
      <c r="A1" s="7" t="s">
        <v>35</v>
      </c>
      <c r="B1" s="7" t="s">
        <v>363</v>
      </c>
      <c r="C1" s="7" t="s">
        <v>364</v>
      </c>
      <c r="D1" s="7" t="s">
        <v>365</v>
      </c>
      <c r="E1" s="7" t="s">
        <v>366</v>
      </c>
      <c r="F1" s="7" t="s">
        <v>152</v>
      </c>
    </row>
    <row r="2" spans="1:6" ht="28.35" customHeight="1" x14ac:dyDescent="0.25">
      <c r="A2" s="16" t="s">
        <v>367</v>
      </c>
      <c r="B2" s="16" t="s">
        <v>368</v>
      </c>
      <c r="C2" s="16" t="s">
        <v>369</v>
      </c>
      <c r="D2" s="16" t="s">
        <v>471</v>
      </c>
      <c r="E2" s="16"/>
      <c r="F2" s="16"/>
    </row>
    <row r="3" spans="1:6" ht="30" x14ac:dyDescent="0.25">
      <c r="A3" s="16" t="s">
        <v>370</v>
      </c>
      <c r="B3" s="16" t="s">
        <v>368</v>
      </c>
      <c r="C3" s="16" t="s">
        <v>371</v>
      </c>
      <c r="D3" s="16" t="s">
        <v>471</v>
      </c>
      <c r="E3" s="16"/>
      <c r="F3" s="16"/>
    </row>
    <row r="4" spans="1:6" ht="30" x14ac:dyDescent="0.25">
      <c r="A4" s="16" t="s">
        <v>372</v>
      </c>
      <c r="B4" s="16" t="s">
        <v>368</v>
      </c>
      <c r="C4" s="16" t="s">
        <v>373</v>
      </c>
      <c r="D4" s="16" t="s">
        <v>471</v>
      </c>
      <c r="E4" s="16"/>
      <c r="F4" s="16"/>
    </row>
    <row r="5" spans="1:6" ht="30" x14ac:dyDescent="0.25">
      <c r="A5" s="16" t="s">
        <v>374</v>
      </c>
      <c r="B5" s="16" t="s">
        <v>375</v>
      </c>
      <c r="C5" s="16" t="s">
        <v>376</v>
      </c>
      <c r="D5" s="16" t="s">
        <v>471</v>
      </c>
      <c r="E5" s="16"/>
      <c r="F5" s="16"/>
    </row>
    <row r="6" spans="1:6" ht="30" x14ac:dyDescent="0.25">
      <c r="A6" s="16" t="s">
        <v>377</v>
      </c>
      <c r="B6" s="16" t="s">
        <v>375</v>
      </c>
      <c r="C6" s="16" t="s">
        <v>378</v>
      </c>
      <c r="D6" s="16" t="s">
        <v>471</v>
      </c>
      <c r="E6" s="16"/>
      <c r="F6" s="16"/>
    </row>
    <row r="7" spans="1:6" ht="30" x14ac:dyDescent="0.25">
      <c r="A7" s="16" t="s">
        <v>379</v>
      </c>
      <c r="B7" s="16" t="s">
        <v>375</v>
      </c>
      <c r="C7" s="16" t="s">
        <v>380</v>
      </c>
      <c r="D7" s="16" t="s">
        <v>471</v>
      </c>
      <c r="E7" s="16"/>
      <c r="F7" s="16"/>
    </row>
    <row r="8" spans="1:6" ht="30" x14ac:dyDescent="0.25">
      <c r="A8" s="16" t="s">
        <v>381</v>
      </c>
      <c r="B8" s="16" t="s">
        <v>382</v>
      </c>
      <c r="C8" s="16" t="s">
        <v>383</v>
      </c>
      <c r="D8" s="16" t="s">
        <v>487</v>
      </c>
      <c r="E8" s="16" t="s">
        <v>488</v>
      </c>
      <c r="F8" s="16">
        <v>1</v>
      </c>
    </row>
    <row r="9" spans="1:6" ht="30" x14ac:dyDescent="0.25">
      <c r="A9" s="16" t="s">
        <v>384</v>
      </c>
      <c r="B9" s="16" t="s">
        <v>382</v>
      </c>
      <c r="C9" s="16" t="s">
        <v>385</v>
      </c>
      <c r="D9" s="16" t="s">
        <v>471</v>
      </c>
      <c r="E9" s="16"/>
      <c r="F9" s="16"/>
    </row>
    <row r="10" spans="1:6" ht="30" x14ac:dyDescent="0.25">
      <c r="A10" s="16" t="s">
        <v>386</v>
      </c>
      <c r="B10" s="16" t="s">
        <v>382</v>
      </c>
      <c r="C10" s="16" t="s">
        <v>387</v>
      </c>
      <c r="D10" s="16" t="s">
        <v>471</v>
      </c>
      <c r="E10" s="16"/>
      <c r="F10" s="16"/>
    </row>
    <row r="11" spans="1:6" x14ac:dyDescent="0.25">
      <c r="A11" s="16" t="s">
        <v>388</v>
      </c>
      <c r="B11" s="16" t="s">
        <v>389</v>
      </c>
      <c r="C11" s="16" t="s">
        <v>390</v>
      </c>
      <c r="D11" s="16" t="s">
        <v>471</v>
      </c>
      <c r="E11" s="16"/>
      <c r="F11" s="16"/>
    </row>
    <row r="12" spans="1:6" ht="30" x14ac:dyDescent="0.25">
      <c r="A12" s="16" t="s">
        <v>391</v>
      </c>
      <c r="B12" s="16" t="s">
        <v>389</v>
      </c>
      <c r="C12" s="16" t="s">
        <v>392</v>
      </c>
      <c r="D12" s="16" t="s">
        <v>471</v>
      </c>
      <c r="E12" s="16"/>
      <c r="F12" s="16"/>
    </row>
    <row r="13" spans="1:6" x14ac:dyDescent="0.25">
      <c r="A13" s="16" t="s">
        <v>393</v>
      </c>
      <c r="B13" s="16" t="s">
        <v>389</v>
      </c>
      <c r="C13" s="16" t="s">
        <v>394</v>
      </c>
      <c r="D13" s="16" t="s">
        <v>471</v>
      </c>
      <c r="E13" s="16"/>
      <c r="F13" s="16"/>
    </row>
  </sheetData>
  <autoFilter ref="A1:F1" xr:uid="{00000000-0009-0000-0000-000007000000}"/>
  <dataValidations count="1">
    <dataValidation type="list" allowBlank="1" showInputMessage="1" showErrorMessage="1" errorTitle="Wynik" error="Wybierz wartość z listy rozwijanej." promptTitle="Wynik" prompt="Wybierz z listy" sqref="D2:D300" xr:uid="{00000000-0002-0000-0700-000000000000}">
      <formula1>"Tak,Nie,Nie dotyczy,Nie sprawdzono"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3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42" customWidth="1"/>
    <col min="2" max="2" width="22" customWidth="1"/>
    <col min="3" max="3" width="80" customWidth="1"/>
  </cols>
  <sheetData>
    <row r="1" spans="1:3" ht="31.5" customHeight="1" x14ac:dyDescent="0.25">
      <c r="A1" s="7" t="s">
        <v>395</v>
      </c>
      <c r="B1" s="7" t="s">
        <v>396</v>
      </c>
      <c r="C1" s="7" t="s">
        <v>397</v>
      </c>
    </row>
    <row r="2" spans="1:3" ht="15" customHeight="1" x14ac:dyDescent="0.25">
      <c r="A2" s="12" t="s">
        <v>398</v>
      </c>
      <c r="B2" s="13"/>
      <c r="C2" s="13"/>
    </row>
    <row r="3" spans="1:3" ht="15" customHeight="1" x14ac:dyDescent="0.25">
      <c r="A3" s="14" t="s">
        <v>399</v>
      </c>
      <c r="B3" s="9"/>
      <c r="C3" s="9"/>
    </row>
    <row r="4" spans="1:3" ht="15" customHeight="1" x14ac:dyDescent="0.25">
      <c r="A4" s="14" t="s">
        <v>400</v>
      </c>
      <c r="B4" s="9"/>
      <c r="C4" s="9"/>
    </row>
    <row r="5" spans="1:3" ht="15" customHeight="1" x14ac:dyDescent="0.25">
      <c r="A5" s="14" t="s">
        <v>401</v>
      </c>
      <c r="B5" s="9"/>
      <c r="C5" s="9"/>
    </row>
    <row r="6" spans="1:3" ht="15" customHeight="1" x14ac:dyDescent="0.25">
      <c r="A6" s="14" t="s">
        <v>402</v>
      </c>
      <c r="B6" s="9"/>
      <c r="C6" s="9"/>
    </row>
    <row r="7" spans="1:3" ht="15" customHeight="1" x14ac:dyDescent="0.25">
      <c r="A7" s="12" t="s">
        <v>403</v>
      </c>
      <c r="B7" s="13"/>
      <c r="C7" s="13"/>
    </row>
    <row r="8" spans="1:3" ht="15" customHeight="1" x14ac:dyDescent="0.25">
      <c r="A8" s="14" t="s">
        <v>404</v>
      </c>
      <c r="B8" s="9">
        <f>COUNTA('Przypadki testowe'!A2:A300)</f>
        <v>35</v>
      </c>
      <c r="C8" s="9"/>
    </row>
    <row r="9" spans="1:3" ht="15" customHeight="1" x14ac:dyDescent="0.25">
      <c r="A9" s="14" t="s">
        <v>306</v>
      </c>
      <c r="B9" s="9">
        <f>COUNTIF('Przypadki testowe'!K2:K300,"Zaliczony")</f>
        <v>28</v>
      </c>
      <c r="C9" s="9"/>
    </row>
    <row r="10" spans="1:3" ht="15" customHeight="1" x14ac:dyDescent="0.25">
      <c r="A10" s="14" t="s">
        <v>307</v>
      </c>
      <c r="B10" s="9">
        <f>COUNTIF('Przypadki testowe'!K2:K300,"Niezaliczony")</f>
        <v>7</v>
      </c>
      <c r="C10" s="9"/>
    </row>
    <row r="11" spans="1:3" ht="15" customHeight="1" x14ac:dyDescent="0.25">
      <c r="A11" s="14" t="s">
        <v>405</v>
      </c>
      <c r="B11" s="9">
        <f>COUNTIF('Przypadki testowe'!K2:K300,"Zablokowany")</f>
        <v>0</v>
      </c>
      <c r="C11" s="9"/>
    </row>
    <row r="12" spans="1:3" ht="15" customHeight="1" x14ac:dyDescent="0.25">
      <c r="A12" s="14" t="s">
        <v>406</v>
      </c>
      <c r="B12" s="9">
        <f>COUNTIF('Przypadki testowe'!K2:K300,"Pominięty")</f>
        <v>0</v>
      </c>
      <c r="C12" s="9"/>
    </row>
    <row r="13" spans="1:3" ht="15" customHeight="1" x14ac:dyDescent="0.25">
      <c r="A13" s="14" t="s">
        <v>163</v>
      </c>
      <c r="B13" s="9">
        <f>COUNTIF('Przypadki testowe'!K2:K300,"Nie wykonano")</f>
        <v>0</v>
      </c>
      <c r="C13" s="9"/>
    </row>
    <row r="14" spans="1:3" ht="15" customHeight="1" x14ac:dyDescent="0.25">
      <c r="A14" s="14" t="s">
        <v>407</v>
      </c>
      <c r="B14" s="15">
        <f>IFERROR((B9+B10)/B8,0)</f>
        <v>1</v>
      </c>
      <c r="C14" s="9"/>
    </row>
    <row r="15" spans="1:3" ht="15" customHeight="1" x14ac:dyDescent="0.25">
      <c r="A15" s="14" t="s">
        <v>408</v>
      </c>
      <c r="B15" s="15">
        <f>IFERROR(B9/(B9+B10),0)</f>
        <v>0.8</v>
      </c>
      <c r="C15" s="9"/>
    </row>
    <row r="16" spans="1:3" ht="15" customHeight="1" x14ac:dyDescent="0.25">
      <c r="A16" s="12" t="s">
        <v>409</v>
      </c>
      <c r="B16" s="13"/>
      <c r="C16" s="13"/>
    </row>
    <row r="17" spans="1:3" ht="15" customHeight="1" x14ac:dyDescent="0.25">
      <c r="A17" s="14" t="s">
        <v>410</v>
      </c>
      <c r="B17" s="9">
        <f>COUNTA('Macierz śledzenia'!A2:A300)</f>
        <v>15</v>
      </c>
      <c r="C17" s="9"/>
    </row>
    <row r="18" spans="1:3" ht="15" customHeight="1" x14ac:dyDescent="0.25">
      <c r="A18" s="14" t="s">
        <v>411</v>
      </c>
      <c r="B18" s="9">
        <f>COUNTIF('Macierz śledzenia'!H2:H300,"Pokryte")</f>
        <v>15</v>
      </c>
      <c r="C18" s="9"/>
    </row>
    <row r="19" spans="1:3" ht="15" customHeight="1" x14ac:dyDescent="0.25">
      <c r="A19" s="14" t="s">
        <v>412</v>
      </c>
      <c r="B19" s="15">
        <f>IFERROR(B18/B17,0)</f>
        <v>1</v>
      </c>
      <c r="C19" s="9"/>
    </row>
    <row r="20" spans="1:3" ht="15" customHeight="1" x14ac:dyDescent="0.25">
      <c r="A20" s="12" t="s">
        <v>413</v>
      </c>
      <c r="B20" s="13"/>
      <c r="C20" s="13"/>
    </row>
    <row r="21" spans="1:3" ht="15" customHeight="1" x14ac:dyDescent="0.25">
      <c r="A21" s="14" t="s">
        <v>414</v>
      </c>
      <c r="B21" s="9">
        <f>COUNTA('Lista kontrolna'!A2:A300)</f>
        <v>12</v>
      </c>
      <c r="C21" s="9"/>
    </row>
    <row r="22" spans="1:3" ht="15" customHeight="1" x14ac:dyDescent="0.25">
      <c r="A22" s="14" t="s">
        <v>415</v>
      </c>
      <c r="B22" s="9">
        <f>COUNTIF('Lista kontrolna'!D2:D300,"Tak")</f>
        <v>11</v>
      </c>
      <c r="C22" s="9"/>
    </row>
    <row r="23" spans="1:3" ht="15" customHeight="1" x14ac:dyDescent="0.25">
      <c r="A23" s="14" t="s">
        <v>416</v>
      </c>
      <c r="B23" s="9">
        <f>COUNTIF('Lista kontrolna'!D2:D300,"Nie")</f>
        <v>1</v>
      </c>
      <c r="C23" s="9"/>
    </row>
    <row r="24" spans="1:3" ht="15" customHeight="1" x14ac:dyDescent="0.25">
      <c r="A24" s="14" t="s">
        <v>417</v>
      </c>
      <c r="B24" s="9">
        <f>COUNTIF('Lista kontrolna'!D2:D300,"Nie dotyczy")+COUNTIF('Lista kontrolna'!D2:D300,"Nie sprawdzono")</f>
        <v>0</v>
      </c>
      <c r="C24" s="9"/>
    </row>
    <row r="25" spans="1:3" ht="15" customHeight="1" x14ac:dyDescent="0.25">
      <c r="A25" s="12" t="s">
        <v>418</v>
      </c>
      <c r="B25" s="13"/>
      <c r="C25" s="13"/>
    </row>
    <row r="26" spans="1:3" ht="15" customHeight="1" x14ac:dyDescent="0.25">
      <c r="A26" s="14" t="s">
        <v>419</v>
      </c>
      <c r="B26" s="9">
        <f>COUNTA('Raporty defektów'!A2:A300)</f>
        <v>1</v>
      </c>
      <c r="C26" s="9"/>
    </row>
    <row r="27" spans="1:3" ht="15" customHeight="1" x14ac:dyDescent="0.25">
      <c r="A27" s="14" t="s">
        <v>420</v>
      </c>
      <c r="B27" s="9">
        <f>COUNTIF('Raporty defektów'!K2:K300,"Krytyczna")</f>
        <v>0</v>
      </c>
      <c r="C27" s="9"/>
    </row>
    <row r="28" spans="1:3" ht="15" customHeight="1" x14ac:dyDescent="0.25">
      <c r="A28" s="14" t="s">
        <v>421</v>
      </c>
      <c r="B28" s="9">
        <f>COUNTIF('Raporty defektów'!K2:K300,"Wysoka")</f>
        <v>0</v>
      </c>
      <c r="C28" s="9"/>
    </row>
    <row r="29" spans="1:3" ht="15" customHeight="1" x14ac:dyDescent="0.25">
      <c r="A29" s="14" t="s">
        <v>422</v>
      </c>
      <c r="B29" s="9">
        <f>COUNTIF('Raporty defektów'!K2:K300,"Średnia")</f>
        <v>1</v>
      </c>
      <c r="C29" s="9"/>
    </row>
    <row r="30" spans="1:3" ht="15" customHeight="1" x14ac:dyDescent="0.25">
      <c r="A30" s="14" t="s">
        <v>423</v>
      </c>
      <c r="B30" s="9">
        <f>COUNTIF('Raporty defektów'!K2:K300,"Niska")</f>
        <v>0</v>
      </c>
      <c r="C30" s="9"/>
    </row>
    <row r="31" spans="1:3" ht="15" customHeight="1" x14ac:dyDescent="0.25">
      <c r="A31" s="14" t="s">
        <v>424</v>
      </c>
      <c r="B31" s="9">
        <f>B26-COUNTIF('Raporty defektów'!N2:N300,"Zamknięty")-COUNTIF('Raporty defektów'!N2:N300,"Odrzucony")</f>
        <v>1</v>
      </c>
      <c r="C31" s="9"/>
    </row>
    <row r="32" spans="1:3" ht="15" customHeight="1" x14ac:dyDescent="0.25">
      <c r="A32" s="12" t="s">
        <v>425</v>
      </c>
      <c r="B32" s="13"/>
      <c r="C32" s="13"/>
    </row>
    <row r="33" spans="1:3" ht="15" customHeight="1" x14ac:dyDescent="0.25">
      <c r="A33" s="14" t="s">
        <v>426</v>
      </c>
      <c r="B33" s="9"/>
      <c r="C33" s="9" t="s">
        <v>427</v>
      </c>
    </row>
    <row r="34" spans="1:3" ht="15" customHeight="1" x14ac:dyDescent="0.25">
      <c r="A34" s="14" t="s">
        <v>428</v>
      </c>
      <c r="B34" s="9"/>
      <c r="C34" s="9" t="s">
        <v>429</v>
      </c>
    </row>
    <row r="35" spans="1:3" ht="15" customHeight="1" x14ac:dyDescent="0.25">
      <c r="A35" s="14" t="s">
        <v>430</v>
      </c>
      <c r="B35" s="9"/>
      <c r="C35" s="9" t="s">
        <v>431</v>
      </c>
    </row>
    <row r="36" spans="1:3" ht="15" customHeight="1" x14ac:dyDescent="0.25">
      <c r="A36" s="14" t="s">
        <v>432</v>
      </c>
      <c r="B36" s="9"/>
      <c r="C36" s="9" t="s">
        <v>433</v>
      </c>
    </row>
    <row r="37" spans="1:3" ht="15" customHeight="1" x14ac:dyDescent="0.25">
      <c r="A37" s="14" t="s">
        <v>434</v>
      </c>
      <c r="B37" s="9"/>
      <c r="C37" s="9"/>
    </row>
  </sheetData>
  <autoFilter ref="A1:C1" xr:uid="{00000000-0009-0000-0000-000008000000}"/>
  <dataValidations count="1">
    <dataValidation type="list" allowBlank="1" showInputMessage="1" showErrorMessage="1" errorTitle="Kryteria wyjścia" error="Wybierz wartość z listy rozwijanej." promptTitle="Kryteria wyjścia" prompt="Wybierz z listy" sqref="B35" xr:uid="{00000000-0002-0000-0800-000000000000}">
      <formula1>"Tak,Nie,Częściowo"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9</vt:i4>
      </vt:variant>
      <vt:variant>
        <vt:lpstr>Nazwane zakresy</vt:lpstr>
      </vt:variant>
      <vt:variant>
        <vt:i4>5</vt:i4>
      </vt:variant>
    </vt:vector>
  </HeadingPairs>
  <TitlesOfParts>
    <vt:vector size="14" baseType="lpstr">
      <vt:lpstr>Instrukcja</vt:lpstr>
      <vt:lpstr>Przegląd specyfikacji</vt:lpstr>
      <vt:lpstr>Warunki testowe</vt:lpstr>
      <vt:lpstr>Przypadki testowe</vt:lpstr>
      <vt:lpstr>Macierz śledzenia</vt:lpstr>
      <vt:lpstr>Raporty defektów</vt:lpstr>
      <vt:lpstr>Sesja eksploracyjna</vt:lpstr>
      <vt:lpstr>Lista kontrolna</vt:lpstr>
      <vt:lpstr>Raport z wykonania</vt:lpstr>
      <vt:lpstr>'Lista kontrolna'!Tytuły_wydruku</vt:lpstr>
      <vt:lpstr>'Macierz śledzenia'!Tytuły_wydruku</vt:lpstr>
      <vt:lpstr>'Przypadki testowe'!Tytuły_wydruku</vt:lpstr>
      <vt:lpstr>'Raport z wykonania'!Tytuły_wydruku</vt:lpstr>
      <vt:lpstr>'Raporty defektów'!Tytuły_wydruku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Barcikowski</cp:lastModifiedBy>
  <cp:revision>0</cp:revision>
  <dcterms:created xsi:type="dcterms:W3CDTF">2026-09-27T06:27:38Z</dcterms:created>
  <dcterms:modified xsi:type="dcterms:W3CDTF">2026-10-08T18:28:37Z</dcterms:modified>
  <dc:language>en-US</dc:language>
</cp:coreProperties>
</file>